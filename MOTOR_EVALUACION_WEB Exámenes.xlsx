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mnos" sheetId="1" r:id="rId5"/>
    <sheet state="visible" name="WEB_Panel_Control" sheetId="2" r:id="rId6"/>
    <sheet state="visible" name="WEB_Preguntas" sheetId="3" r:id="rId7"/>
    <sheet state="visible" name="WEB_Resultados" sheetId="4" r:id="rId8"/>
    <sheet state="visible" name="Notas_Finales" sheetId="5" r:id="rId9"/>
    <sheet state="visible" name="ET24DE1742MañanaGADOLLENOLIO, C" sheetId="6" r:id="rId10"/>
    <sheet state="visible" name="Ayuda" sheetId="7" r:id="rId11"/>
    <sheet state="visible" name="PROMT para EXAMEN" sheetId="8" r:id="rId12"/>
  </sheets>
  <definedNames/>
  <calcPr/>
</workbook>
</file>

<file path=xl/sharedStrings.xml><?xml version="1.0" encoding="utf-8"?>
<sst xmlns="http://schemas.openxmlformats.org/spreadsheetml/2006/main" count="3452" uniqueCount="663">
  <si>
    <t>APELLIDO y Nombre</t>
  </si>
  <si>
    <t>ID Completo</t>
  </si>
  <si>
    <t>Curso</t>
  </si>
  <si>
    <t>N° de TP</t>
  </si>
  <si>
    <t>División</t>
  </si>
  <si>
    <t>Unidad</t>
  </si>
  <si>
    <t>Turno</t>
  </si>
  <si>
    <t>ALVAREZ RUBIERA, Juan Martin</t>
  </si>
  <si>
    <t>Especialidad</t>
  </si>
  <si>
    <t>Escuela</t>
  </si>
  <si>
    <t>Profesor</t>
  </si>
  <si>
    <t>EXAMEN</t>
  </si>
  <si>
    <t>U1</t>
  </si>
  <si>
    <t>ET24DE17</t>
  </si>
  <si>
    <t>Mañana</t>
  </si>
  <si>
    <t>Apellido y nombre del profesor</t>
  </si>
  <si>
    <t>GADO</t>
  </si>
  <si>
    <t>Columna para emparejamiento de datos, debe estar vacia y no aporta nada, solamente el espacio</t>
  </si>
  <si>
    <t>LLENOLIO, Claudio</t>
  </si>
  <si>
    <t>Instrucciones</t>
  </si>
  <si>
    <t>pre_balanza_2</t>
  </si>
  <si>
    <t>Opciones</t>
  </si>
  <si>
    <t>4\left[-2\cos(2x^{-4} + 6x^2)\sin(2x^{-4} + 6x^2)(-8x^{-5} + 12x)\right]\sqrt[5]{3e^x + 7} + 4\cos^2(2x^{-4} + 6x^2)\cdot \frac{3e^x}{5\sqrt[5]{(3e^x + 7)^4}}</t>
  </si>
  <si>
    <t>j</t>
  </si>
  <si>
    <t>Puntos</t>
  </si>
  <si>
    <t>pre_balanza_1</t>
  </si>
  <si>
    <t>\frac{(8x + 12x^3)(2x^{-3} + 2e^x) - (4x^2 + 3x^4)(-6x^{-4} + 2e^x)}{(2x^{-3} + 2e^x)^2}</t>
  </si>
  <si>
    <t>Implementación</t>
  </si>
  <si>
    <t>pre_balanza_0</t>
  </si>
  <si>
    <t>12x^3 + x^{-3} - \frac{5}{x} + \frac{2}{3\sqrt[3]{x}}</t>
  </si>
  <si>
    <t>001/U1/ET24DE17/4/2/Mañana/GADO/LLENOLIO, Claudio</t>
  </si>
  <si>
    <t>QR</t>
  </si>
  <si>
    <t>EJE1</t>
  </si>
  <si>
    <t>$$4left[-2cos(2x^{-4} + 6x^2)sin(2x^{-4} + 6x^2)(-8x^{-5} + 12x)ight]sqrt[5]{3e^x + 7} + 4cos^2(2x^{-4} + 6x^2)cdot _x000c_rac{3e^x}{5sqrt[5]{(3e^x + 7)^4}}$$</t>
  </si>
  <si>
    <t>$$12x^3 + x^{-3} - _x000c_rac{5}{x} + _x000c_rac{2}{3sqrt[3]{x}}$$</t>
  </si>
  <si>
    <t>$$_x000c_rac{(8x + 12x^3)(2x^{-3} + 2e^x) - (4x^2 + 3x^4)(-6x^{-4} + 2e^x)}{(2x^{-3} + 2e^x)^2}$$</t>
  </si>
  <si>
    <t>$$12x^3 + x^{-3} - \frac{5}{x} + \frac{2}{3\sqrt[3]{x}}$$</t>
  </si>
  <si>
    <t>$$\frac{(8x + 12x^3)(2x^{-3} + 2e^x) - (4x^2 + 3x^4)(-6x^{-4} + 2e^x)}{(2x^{-3} + 2e^x)^2}$$</t>
  </si>
  <si>
    <t>$$4\left[-2\cos(2x^{-4} + 6x^2)\sin(2x^{-4} + 6x^2)(-8x^{-5} + 12x)\right]\sqrt[5]{3e^x + 7} + 4\cos^2(2x^{-4} + 6x^2)\cdot \frac{3e^x}{5\sqrt[5]{(3e^x + 7)^4}}$$</t>
  </si>
  <si>
    <t>$$6\left[-2\cos(3x^{-3} + 3x^2)\sin(3x^{-3} + 3x^2)(-9x^{-4} + 6x)\right]\sqrt[5]{2e^x + 8} + 6\cos^2(3x^{-3} + 3x^2)\cdot \frac{2e^x}{5\sqrt[5]{(2e^x + 8)^4}}$$</t>
  </si>
  <si>
    <t>$$18x^2 + 2x^{-6} - \frac{3}{x} + \frac{5\sqrt[4]{x}}{4}$$</t>
  </si>
  <si>
    <t>$$\frac{(6x + 12x^2)(2x^{-4} + 6e^x) - (3x^2 + 4x^3)(-8x^{-5} + 6e^x)}{(2x^{-4} + 6e^x)^2}$$</t>
  </si>
  <si>
    <t>Alumno Activo</t>
  </si>
  <si>
    <t>$$12x + \frac{1}{x^6} - \frac{7}{x} + \frac{5\sqrt[4]{x}}{4}$$</t>
  </si>
  <si>
    <t>Calcular la derivada de la función: $$f(x) = 3x^4 - \frac{1}{2}x^{-2} - 5\ln(x) + \sqrt[3]{x^2}$$ : Reexpresamos la raíz como exponente fraccionario ,,, Aplicamos reglas de derivación ,,, Acomodamos exponentes negativos y fraccionarios ,,, 12x^3 + x^{-3} - \frac{5}{x} + \frac{2}{3\sqrt[3]{x}}</t>
  </si>
  <si>
    <t>$$12x^3 + \frac{1}{x^3} - \frac{5}{x} + \frac{2}{3\sqrt[3]{x}}$$</t>
  </si>
  <si>
    <t>Alumno Rindiendo</t>
  </si>
  <si>
    <t>*$f(x) = 3x^4 - \frac{1}{2}x^{-2} - 5\ln(x) + x^{\frac{2}{3}}$ ; $f(x) = 3x^4 - \frac{1}{2}x^{-2} - 5\ln(x) + x^{\frac{3}{2}}$ : Inversión de exponente en la raíz (índice va al denominador) ; $f(x) = 3x^4 - \frac{1}{2}x^{-2} - 5\ln(x) + x^6$ : Multiplicación en lugar de división en índice radical ,,, *$f'(x) = 12x^3 - \frac{1}{2}(-2)x^{-3} - 5\cdot\frac{1}{x} + \frac{2}{3}x^{-\frac{1}{3}}$ ; $f'(x) = 12x^3 - \frac{1}{2}(2)x^{-1} - 5\ln(x) + \frac{2}{3}x^{\frac{1}{3}}$ : Error en regla de derivación para logaritmo natural ; $f'(x) = 7x^3 + x^{-3} - \frac{5}{x} + \frac{2}{3}x^{-\frac{1}{3}}$ : Derivación incorrecta del primer término 3x^4 ,,, *$f'(x) = 12x^3 + \frac{1}{x^3} - \frac{5}{x} + \frac{2}{3\sqrt[3]{x}}$ ; $f'(x) = 12x^3 - \frac{1}{x^3} - \frac{5}{x} + \frac{2}{3\sqrt[3]{x^2}}$ : Regla de signos al bajar el exponente negativo (-1/2 * -2) ; $f'(x) = 12x^3 + \frac{1}{x^2} - \frac{5}{x} + \frac{2}{3\sqrt[3]{x}}$ : Error al restar 1 en el exponente (-2 - 1 = -3)</t>
  </si>
  <si>
    <t>Alumno</t>
  </si>
  <si>
    <t>PONTORIERO, Bautista</t>
  </si>
  <si>
    <t>$$12x^5 + \frac{1}{x^4} - \frac{4}{x} + \frac{3}{4\sqrt[4]{x}}$$</t>
  </si>
  <si>
    <t>$$\text{Impropia } \left(2\frac{3}{4}\right)$$</t>
  </si>
  <si>
    <t>$$\frac{37}{30}$$</t>
  </si>
  <si>
    <t>$$\frac{3}{5} &gt; \frac{4}{7}$$</t>
  </si>
  <si>
    <t>ZALAZAR PETRILLO, Enzo Uriel</t>
  </si>
  <si>
    <t>Calcular la derivada de la función: $$f(x) = 5x^3 - \frac{1}{4}x^{-4} - 2\ln(x) + \sqrt[5]{x^3}$$ : Reexpresamos la raíz como exponente fraccionario ,,, Aplicamos reglas de derivación ,,, Acomodamos exponentes negativos y fraccionarios ,,, 15x^2 + x^{-5} - \frac{2}{x} + \frac{3}{5\sqrt[5]{x^2}}</t>
  </si>
  <si>
    <t>*$f(x) = 5x^3 - \frac{1}{4}x^{-4} - 2\ln(x) + x^{\frac{3}{5}}$ ; $f(x) = 5x^3 - \frac{1}{4}x^{-4} - 2\ln(x) + x^{\frac{5}{3}}$ : Inversión de potencia e índice en la raíz ; $f(x) = 5x^3 - \frac{1}{4}x^{-4} - 2\ln(x) + x^{-15}$ : Se multiplicaron exponente e índice radical ,,, *$f'(x) = 15x^2 - \frac{1}{4}(-4)x^{-5} - 2\cdot\frac{1}{x} + \frac{3}{5}x^{-\frac{2}{5}}$ ; $f'(x) = 15x^2 - \frac{1}{4}(4)x^{-3} - 2\frac{1}{x} + \frac{3}{5}x^{\frac{2}{5}}$ : Mala aplicación del signo del exponente (-4) ; $f'(x) = 15x^2 + x^{-5} - 2\ln(x) + \frac{3}{5}x^{-\frac{2}{5}}$ : Omisión de derivada del logaritmo natural ,,, *$f'(x) = 15x^2 + \frac{1}{x^5} - \frac{2}{x} + \frac{3}{5\sqrt[5]{x^2}}$ ; $f'(x) = 15x^2 - \frac{1}{x^5} - \frac{2}{x} + \frac{3}{5\sqrt[5]{x^2}}$ : Confusión en regla de signos (-1/4 * -4) ; $f'(x) = 15x^2 + \frac{1}{x^5} - \frac{2}{x} + \frac{3}{5\sqrt[2]{x^5}}$ : Mala conversión final de exponente fraccionario a raíz</t>
  </si>
  <si>
    <t>$$15x^2 + \frac{1}{x^5} - \frac{2}{x} + \frac{3}{5\sqrt[5]{x^2}}$$</t>
  </si>
  <si>
    <t>pre_om_0</t>
  </si>
  <si>
    <t>*$f(x) \rightarrow$ Fracción Impropia (el numerador es mayor que el denominador) ; $f(x) \rightarrow$ Fracción Propia : Una fracción propia tiene el numerador menor que el denominador ($\frac{a}{b}$ con $a &lt; b$) ; $f(x) \rightarrow$ Fracción Aparente : Una fracción aparente representa un número entero exacto (el numerador es múltiplo del denominador)</t>
  </si>
  <si>
    <t>pre_om_1</t>
  </si>
  <si>
    <t>*$\frac{3}{5} = \frac{21}{35}$  y  $\frac{4}{7} = \frac{20}{35}$ ; $\frac{3}{5} = \frac{15}{35}$  y  $\frac{4}{7} = \frac{20}{35}$ : Al amplificar $\frac{3}{5}$ por $7$, se debe multiplicar tanto numerador como denominador ($3 \cdot 7 = 21$) ; $\frac{3}{5} = \frac{21}{35}$  y  $\frac{4}{7} = \frac{28}{35}$ : Al amplificar $\frac{4}{7}$ por $5$, el numerador es $4 \cdot 5 = 20$</t>
  </si>
  <si>
    <t>pre_om_2</t>
  </si>
  <si>
    <t>ALVAREZ, Abril Alejandra</t>
  </si>
  <si>
    <t>pre_om_7</t>
  </si>
  <si>
    <t>El décuplo de la diferencia entre un número y tres</t>
  </si>
  <si>
    <t>pre_om_3</t>
  </si>
  <si>
    <t>x más cinco</t>
  </si>
  <si>
    <t>(2x+1)+1</t>
  </si>
  <si>
    <t>pre_om_5</t>
  </si>
  <si>
    <t>a a la cuarta</t>
  </si>
  <si>
    <t>pre_om_10</t>
  </si>
  <si>
    <t>El doble de un número mas el triple de otro</t>
  </si>
  <si>
    <t>Calcular la derivada de la función: $$f(x) = 2x^6 - \frac{1}{3}x^{-3} - 4\ln(x) + \sqrt[4]{x^3}$$ : Reexpresamos la raíz como exponente fraccionario ,,, Aplicamos reglas de derivación ,,, Acomodamos exponentes negativos y fraccionarios ,,, 12x^5 + x^{-4} - \frac{4}{x} + \frac{3}{4\sqrt[4]{x}}</t>
  </si>
  <si>
    <t>*$f(x) = 2x^6 - \frac{1}{3}x^{-3} - 4\ln(x) + x^{\frac{3}{4}}$ ; $f(x) = 2x^6 - \frac{1}{3}x^{-3} - 4\ln(x) + x^{\frac{4}{3}}$ : Se puso el índice radical en el numerador ; $f(x) = 2x^6 - \frac{1}{3}x^{-3} - 4\ln(x) + x^{12}$ : Error de conversión de raíz ,,, *$f'(x) = 12x^5 - \frac{1}{3}(-3)x^{-4} - 4\cdot\frac{1}{x} + \frac{3}{4}x^{-\frac{1}{4}}$ ; $f'(x) = 12x^5 - \frac{1}{3}(3)x^{-2} - 4\cdot\frac{1}{x} + \frac{3}{4}x^{\frac{1}{4}}$ : Se le sumó 1 al exponente negativo (-3+1) ; $f'(x) = 12x^5 + x^{-4} - \frac{4}{x^2} + \frac{3}{4}x^{-\frac{1}{4}}$ : Derivación incorrecta de ln(x) como 1/x^2 ,,, *$f'(x) = 12x^5 + \frac{1}{x^4} - \frac{4}{x} + \frac{3}{4\sqrt[4]{x}}$ ; $f'(x) = 12x^5 - \frac{1}{x^4} - \frac{4}{x} + \frac{3}{4\sqrt[4]{x}}$ : Error de signo al simplificar -1/3 * -3 ; $f'(x) = 12x^5 + \frac{1}{x^4} - \frac{4}{x} + \frac{3}{4\sqrt[1]{x^4}}$ : Inversión final de raíz (índice va afuera)</t>
  </si>
  <si>
    <t>pre_om_6</t>
  </si>
  <si>
    <t>El doble de x más cinco</t>
  </si>
  <si>
    <t>pre_om_11</t>
  </si>
  <si>
    <t>El cuadrado de la suma de dos números</t>
  </si>
  <si>
    <t>pre_om_8</t>
  </si>
  <si>
    <t>Dos números restados, a la mitad</t>
  </si>
  <si>
    <t>pre_om_4</t>
  </si>
  <si>
    <t>Un número disminuido en 3</t>
  </si>
  <si>
    <t>pre_om_9</t>
  </si>
  <si>
    <t>Las tres quintas partes de la suma de dos números</t>
  </si>
  <si>
    <t>J-P</t>
  </si>
  <si>
    <t>pre_om_12</t>
  </si>
  <si>
    <t>El doble de dos números</t>
  </si>
  <si>
    <t>GALARZA</t>
  </si>
  <si>
    <t>$$16x + \frac{2}{x^5} - \frac{9}{x} + \frac{4\sqrt[3]{x}}{3}$$</t>
  </si>
  <si>
    <t>Calcular la derivada de la función: $$f(x) = 4x^5 - \frac{1}{2}x^{-6} - 3\ln(x) + \sqrt[3]{x^5}$$ : Reexpresamos la raíz como exponente fraccionario ,,, Aplicamos reglas de derivación ,,, Acomodamos exponentes negativos y fraccionarios ,,, 20x^4 + 3x^{-7} - \frac{3}{x} + \frac{5\sqrt[3]{x^2}}{3}</t>
  </si>
  <si>
    <t>*$f(x) = 4x^5 - \frac{1}{2}x^{-6} - 3\ln(x) + x^{\frac{5}{3}}$ ; $f(x) = 4x^5 - \frac{1}{2}x^{-6} - 3\ln(x) + x^{\frac{3}{5}}$ : Inversión de fracción en el exponente radical ; $f(x) = 4x^5 - \frac{1}{2}x^{-6} - 3\ln(x) + x^{15}$ : Se multiplicó el índice por la potencia ,,, *$f'(x) = 20x^4 - \frac{1}{2}(-6)x^{-7} - 3\cdot\frac{1}{x} + \frac{5}{3}x^{\frac{2}{3}}$ ; $f'(x) = 20x^4 - \frac{1}{2}(6)x^{-5} - 3\cdot\frac{1}{x} + \frac{5}{3}x^{-\frac{2}{3}}$ : Resta incorrecta en el exponente fraccionario (5/3 - 1) ; $f'(x) = 20x^4 + 3x^{-7} - 3\ln(x) + \frac{5}{3}x^{\frac{2}{3}}$ : Falta derivar el término logarítmico ,,, *$f'(x) = 20x^4 + \frac{3}{x^7} - \frac{3}{x} + \frac{5\sqrt[3]{x^2}}{3}$ ; $f'(x) = 20x^4 - \frac{3}{x^7} - \frac{3}{x} + \frac{5\sqrt[3]{x^2}}{3}$ : Multiplicación incorrecta de signos (-1/2 * -6) ; $f'(x) = 20x^4 + \frac{3}{x^7} - \frac{3}{x} + \frac{5}{3\sqrt[3]{x^2}}$ : Se bajó un exponente positivo (2/3) al denominador</t>
  </si>
  <si>
    <t>$$20x^4 + \frac{3}{x^7} - \frac{3}{x} + \frac{5\sqrt[3]{x^2}}{3}$$</t>
  </si>
  <si>
    <t>GONZÁLEZ ANTIVERO, Ariadna</t>
  </si>
  <si>
    <t>$$27x^2 + \frac{2}{x^9} - \frac{8}{x} + \frac{5}{6\sqrt[6]{x}}$$</t>
  </si>
  <si>
    <t>OM</t>
  </si>
  <si>
    <t>CMTP</t>
  </si>
  <si>
    <t>[Ljava.lang.Object;@130bffe9</t>
  </si>
  <si>
    <t>[Ljava.lang.Object;@a4a1667</t>
  </si>
  <si>
    <t>[Ljava.lang.Object;@331e443d</t>
  </si>
  <si>
    <t>[Ljava.lang.Object;@2f4dbd2</t>
  </si>
  <si>
    <t>[Ljava.lang.Object;@264da327</t>
  </si>
  <si>
    <t>Calcular la derivada de la función: $$f(x) = 6x^2 - \frac{1}{5}x^{-5} - 7\ln(x) + \sqrt[4]{x^5}$$ : Reexpresamos la raíz como exponente fraccionario ,,, Aplicamos reglas de derivación ,,, Acomodamos exponentes negativos y fraccionarios ,,, 12x + x^{-6} - \frac{7}{x} + \frac{5\sqrt[4]{x}}{4}</t>
  </si>
  <si>
    <t>*$f(x) = 6x^2 - \frac{1}{5}x^{-5} - 7\ln(x) + x^{\frac{5}{4}}$ ; $f(x) = 6x^2 - \frac{1}{5}x^{-5} - 7\ln(x) + x^{\frac{4}{5}}$ : Inversión de exponente en la raíz ; $f(x) = 6x^2 - \frac{1}{5}x^{-5} - 7\ln(x) + x^{20}$ : Conversión incorrecta de radical a exponente ,,, *$f'(x) = 12x - \frac{1}{5}(-5)x^{-6} - 7\cdot\frac{1}{x} + \frac{5}{4}x^{\frac{1}{4}}$ ; $f'(x) = 12x - \frac{1}{5}(5)x^{-4} - 7\cdot\frac{1}{x} + \frac{5}{4}x^{-\frac{1}{4}}$ : Resta equivocada al exponente (5/4 - 1 = 1/4) ; $f'(x) = 12x + x^{-6} - \frac{7}{x^2} + \frac{5}{4}x^{\frac{1}{4}}$ : Derivación errónea de ln(x) ,,, *$f'(x) = 12x + \frac{1}{x^6} - \frac{7}{x} + \frac{5\sqrt[4]{x}}{4}$ ; $f'(x) = 12x - \frac{1}{x^6} - \frac{7}{x} + \frac{5\sqrt[4]{x}}{4}$ : Error de signo al simplificar el segundo término ; $f'(x) = 12x + \frac{1}{x^6} - \frac{7}{x} + \frac{5}{4\sqrt[4]{x}}$ : Se envió un exponente positivo al denominador</t>
  </si>
  <si>
    <t>[Ljava.lang.Object;@5c4528b1</t>
  </si>
  <si>
    <t>001C/U3 Asíntotas</t>
  </si>
  <si>
    <t>[Ljava.lang.Object;@10f8afae</t>
  </si>
  <si>
    <t>[Ljava.lang.Object;@1aef2b22</t>
  </si>
  <si>
    <t>002C/U3 Continuidad</t>
  </si>
  <si>
    <t>[Ljava.lang.Object;@ed90a11</t>
  </si>
  <si>
    <t>003C/U3 Discontinuidad evitable</t>
  </si>
  <si>
    <t>[Ljava.lang.Object;@c42e11e</t>
  </si>
  <si>
    <t>[Ljava.lang.Object;@3e07d2e1</t>
  </si>
  <si>
    <t>Calcular la derivada de la función: $$f(x) = 7x^4 - \frac{1}{3}x^{-6} - 6\ln(x) + \sqrt[5]{x^2}$$ : Reexpresamos la raíz como exponente fraccionario ,,, Aplicamos reglas de derivación ,,, Acomodamos exponentes negativos y fraccionarios ,,, 28x^3 + 2x^{-7} - \frac{6}{x} + \frac{2}{5\sqrt[5]{x^3}}</t>
  </si>
  <si>
    <t>*$f(x) = 7x^4 - \frac{1}{3}x^{-6} - 6\ln(x) + x^{\frac{2}{5}}$ ; $f(x) = 7x^4 - \frac{1}{3}x^{-6} - 6\ln(x) + x^{\frac{5}{2}}$ : Inversión de la fracción del radical ; $f(x) = 7x^4 - \frac{1}{3}x^{-6} - 6\ln(x) + x^{10}$ : Multiplicación indebida de potencia e índice ,,, *$f'(x) = 28x^3 - \frac{1}{3}(-6)x^{-7} - 6\cdot\frac{1}{x} + \frac{2}{5}x^{-\frac{3}{5}}$ ; $f'(x) = 28x^3 - \frac{1}{3}(6)x^{-5} - 6\cdot\frac{1}{x} + \frac{2}{5}x^{\frac{3}{5}}$ : Signo positivo en el exponente derivado (-6) ; $f'(x) = 28x^3 + 2x^{-7} - 6\ln(x) + \frac{2}{5}x^{-\frac{3}{5}}$ : Falta derivar el logaritmo ,,, *$f'(x) = 28x^3 + \frac{2}{x^7} - \frac{6}{x} + \frac{2}{5\sqrt[5]{x^3}}$ ; $f'(x) = 28x^3 - \frac{2}{x^7} - \frac{6}{x} + \frac{2}{5\sqrt[5]{x^3}}$ : Regla de signos (-1/3 * -6) ; $f'(x) = 28x^3 + \frac{2}{x^7} - \frac{6}{x} + \frac{2}{5\sqrt[3]{x^5}}$ : Inversión final de exponente radical (3/5)</t>
  </si>
  <si>
    <t>[Ljava.lang.Object;@4b96e8ae</t>
  </si>
  <si>
    <t>$$28x^3 + \frac{2}{x^7} - \frac{6}{x} + \frac{2}{5\sqrt[5]{x^3}}$$</t>
  </si>
  <si>
    <t>[Ljava.lang.Object;@44d0aba5</t>
  </si>
  <si>
    <t>[Ljava.lang.Object;@50628e94</t>
  </si>
  <si>
    <t>[Ljava.lang.Object;@33678858</t>
  </si>
  <si>
    <t>[Ljava.lang.Object;@4d948ce3</t>
  </si>
  <si>
    <t>[Ljava.lang.Object;@701b5249</t>
  </si>
  <si>
    <t>Calcular la derivada de la función: $$f(x) = 8x^2 - \frac{1}{2}x^{-4} - 9\ln(x) + \sqrt[3]{x^4}$$ : Reexpresamos la raíz como exponente fraccionario ,,, Aplicamos reglas de derivación ,,, Acomodamos exponentes negativos y fraccionarios ,,, 16x + 2x^{-5} - \frac{9}{x} + \frac{4\sqrt[3]{x}}{3}</t>
  </si>
  <si>
    <t>[Ljava.lang.Object;@f30d276</t>
  </si>
  <si>
    <t>*$f(x) = 8x^2 - \frac{1}{2}x^{-4} - 9\ln(x) + x^{\frac{4}{3}}$ ; $f(x) = 8x^2 - \frac{1}{2}x^{-4} - 9\ln(x) + x^{\frac{3}{4}}$ : Confusión entre potencia e índice radical ; $f(x) = 8x^2 - \frac{1}{2}x^{-4} - 9\ln(x) + x^{12}$ : Exponente entero erróneo ,,, *$f'(x) = 16x - \frac{1}{2}(-4)x^{-5} - 9\cdot\frac{1}{x} + \frac{4}{3}x^{\frac{1}{3}}$ ; $f'(x) = 16x - \frac{1}{2}(4)x^{-3} - 9\cdot\frac{1}{x} + \frac{4}{3}x^{-\frac{1}{3}}$ : Resta incorrecta en exponente fraccionario ; $f'(x) = 16x + 2x^{-5} - \frac{9}{x^2} + \frac{4}{3}x^{\frac{1}{3}}$ : Derivada incorrecta del logaritmo ,,, *$f'(x) = 16x + \frac{2}{x^5} - \frac{9}{x} + \frac{4\sqrt[3]{x}}{3}$ ; $f'(x) = 16x - \frac{2}{x^5} - \frac{9}{x} + \frac{4\sqrt[3]{x}}{3}$ : Error de signo al multiplicar coeficientes ; $f'(x) = 16x + \frac{2}{x^5} - \frac{9}{x} + \frac{4}{3\sqrt[3]{x}}$ : Exponente positivo trasladado al denominador</t>
  </si>
  <si>
    <t>[Ljava.lang.Object;@b63ac13</t>
  </si>
  <si>
    <t>[Ljava.lang.Object;@3d7a8d33</t>
  </si>
  <si>
    <t>HUALAMPA, Benjamín Leonel</t>
  </si>
  <si>
    <t>[Ljava.lang.Object;@4566e71b</t>
  </si>
  <si>
    <t>[Ljava.lang.Object;@2c7bd731</t>
  </si>
  <si>
    <t>Calcular la derivada de la función: $$f(x) = 9x^3 - \frac{1}{4}x^{-8} - 8\ln(x) + \sqrt[6]{x^5}$$ : Reexpresamos la raíz como exponente fraccionario ,,, Aplicamos reglas de derivación ,,, Acomodamos exponentes negativos y fraccionarios ,,, 27x^2 + 2x^{-9} - \frac{8}{x} + \frac{5}{6\sqrt[6]{x}}</t>
  </si>
  <si>
    <t>*$f(x) = 9x^3 - \frac{1}{4}x^{-8} - 8\ln(x) + x^{\frac{5}{6}}$ ; $f(x) = 9x^3 - \frac{1}{4}x^{-8} - 8\ln(x) + x^{\frac{6}{5}}$ : Inversión de la fracción en exponente radical ; $f(x) = 9x^3 - \frac{1}{4}x^{-8} - 8\ln(x) + x^{48}$ : Error de cálculo en la conversión de raíz ,,, *$f'(x) = 27x^2 - \frac{1}{4}(-8)x^{-9} - 8\cdot\frac{1}{x} + \frac{5}{6}x^{-\frac{1}{6}}$ ; $f'(x) = 27x^2 - \frac{1}{4}(8)x^{-7} - 8\cdot\frac{1}{x} + \frac{5}{6}x^{\frac{1}{6}}$ : Error en resta de exponentes (-8-1 y 5/6-1) ; $f'(x) = 27x^2 + 2x^{-9} - 8\ln(x) + \frac{5}{6}x^{-\frac{1}{6}}$ : Omitió derivar el término logarítmico ,,, *$f'(x) = 27x^2 + \frac{2}{x^9} - \frac{8}{x} + \frac{5}{6\sqrt[6]{x}}$ ; $f'(x) = 27x^2 - \frac{2}{x^9} - \frac{8}{x} + \frac{5}{6\sqrt[6]{x}}$ : Error de signo al multiplicar (-1/4 * -8) ; $f'(x) = 27x^2 + \frac{2}{x^9} - \frac{8}{x} + \frac{5}{6\sqrt[1]{x^6}}$ : Inversión del índice radical al reexpresar la raíz</t>
  </si>
  <si>
    <t>[Ljava.lang.Object;@40a2a44b</t>
  </si>
  <si>
    <t>EJE2</t>
  </si>
  <si>
    <t>[Ljava.lang.Object;@692237cf</t>
  </si>
  <si>
    <t>[Ljava.lang.Object;@69e473ea</t>
  </si>
  <si>
    <t>[Ljava.lang.Object;@75fe4ef6</t>
  </si>
  <si>
    <t>Calcular la derivada de la función: $$g(x) = \frac{4x^3 + 5x^2}{2x^{-3} + 3e^x}$$ : Calculamos las derivadas individuales del numerador u'(x) y denominador v'(x) ,,, Aplicamos la regla del cociente \frac{u'v - uv'}{v^2} ,,, Acomodamos los exponentes negativos en los factores ,,, \frac{(12x^2 + 10x)(\frac{2}{x^3} + 3e^x) - (4x^3 + 5x^2)(-\frac{6}{x^4} + 3e^x)}{(\frac{2}{x^3} + 3e^x)^2}</t>
  </si>
  <si>
    <t>[Ljava.lang.Object;@3cbc9f70</t>
  </si>
  <si>
    <t>*$u'(x) = 12x^2 + 10x \quad \text{y} \quad v'(x) = -6x^{-4} + 3e^x$ ; $u'(x) = 12x^2 + 10x \quad \text{y} \quad v'(x) = 6x^{-2} + 3e^x$ : Error al derivar el exponente negativo en v(x) (-3 - 1 = -4) ; $u'(x) = 7x^2 + 7x \quad \text{y} \quad v'(x) = -6x^{-4} + 3e^x$ : Suma de coeficiente y exponente en lugar de multiplicación ,,, *$g'(x) = \frac{(12x^2 + 10x)(2x^{-3} + 3e^x) - (4x^3 + 5x^2)(-6x^{-4} + 3e^x)}{(2x^{-3} + 3e^x)^2}$ ; $g'(x) = \frac{(12x^2 + 10x)(2x^{-3} + 3e^x) + (4x^3 + 5x^2)(-6x^{-4} + 3e^x)}{(2x^{-3} + 3e^x)^2}$ : Error de signo: suma en lugar de resta en el numerador del cociente ; $g'(x) = \frac{12x^2 + 10x}{-6x^{-4} + 3e^x}$ : Derivación directa de numerador sobre denominador sin regla de cociente ,,, *$g'(x) = \frac{(12x^2 + 10x)(\frac{2}{x^3} + 3e^x) - (4x^3 + 5x^2)(-\frac{6}{x^4} + 3e^x)}{(\frac{2}{x^3} + 3e^x)^2}$ ; $g'(x) = \frac{(12x^2 + 10x)(\frac{2}{x^3} + 3e^x) - (4x^3 + 5x^2)(\frac{6}{x^4} + 3e^x)}{(\frac{2}{x^3} + 3e^x)^2}$ : Cambio incorrecto del signo negativo al pasar el exponente al denominador ; $g'(x) = \frac{(12x^2 + 10x)(\frac{2}{x^3} + 3e^x) - (4x^3 + 5x^2)(-\frac{6}{x^3} + 3e^x)}{(\frac{2}{x^3} + 3e^x)^2}$ : Error de grado al reexpresar x^{-4} como denominador</t>
  </si>
  <si>
    <t>$$\frac{(12x^2 + 10x)(\frac{2}{x^3} + 3e^x) - (4x^3 + 5x^2)(-\frac{6}{x^4} + 3e^x)}{(\frac{2}{x^3} + 3e^x)^2}$$</t>
  </si>
  <si>
    <t>[Ljava.lang.Object;@47a795a6</t>
  </si>
  <si>
    <t>[Ljava.lang.Object;@58475659</t>
  </si>
  <si>
    <t>[Ljava.lang.Object;@608fd9de</t>
  </si>
  <si>
    <t>Calcular la derivada de la función: $$g(x) = \frac{2x^4 + 3x^2}{5x^{-2} + 2e^x}$$ : Calculamos las derivadas individuales del numerador u'(x) y denominador v'(x) ,,, Aplicamos la regla del cociente \frac{u'v - uv'}{v^2} ,,, Acomodamos los exponentes negativos en los factores ,,, \frac{(8x^3 + 6x)(\frac{5}{x^2} + 2e^x) - (2x^4 + 3x^2)(-\frac{10}{x^3} + 2e^x)}{(\frac{5}{x^2} + 2e^x)^2}</t>
  </si>
  <si>
    <t>PARODI RAINIERI, Carolina</t>
  </si>
  <si>
    <t>*$u'(x) = 8x^3 + 6x \quad \text{y} \quad v'(x) = -10x^{-3} + 2e^x$ ; $u'(x) = 8x^3 + 6x \quad \text{y} \quad v'(x) = 10x^{-1} + 2e^x$ : Error al derivar el exponente negativo en v(x) (-2 - 1 = -3) ; $u'(x) = 6x^3 + 5x \quad \text{y} \quad v'(x) = -10x^{-3} + 2e^x$ : Suma de coeficiente y exponente en lugar de multiplicación ,,, *$g'(x) = \frac{(8x^3 + 6x)(5x^{-2} + 2e^x) - (2x^4 + 3x^2)(-10x^{-3} + 2e^x)}{(5x^{-2} + 2e^x)^2}$ ; $g'(x) = \frac{(8x^3 + 6x)(5x^{-2} + 2e^x) + (2x^4 + 3x^2)(-10x^{-3} + 2e^x)}{(5x^{-2} + 2e^x)^2}$ : Error de signo: suma en lugar de resta en el numerador del cociente ; $g'(x) = \frac{8x^3 + 6x}{-10x^{-3} + 2e^x}$ : Derivación directa de numerador sobre denominador sin regla de cociente ,,, *$g'(x) = \frac{(8x^3 + 6x)(\frac{5}{x^2} + 2e^x) - (2x^4 + 3x^2)(-\frac{10}{x^3} + 2e^x)}{(\frac{5}{x^2} + 2e^x)^2}$ ; $g'(x) = \frac{(8x^3 + 6x)(\frac{5}{x^2} + 2e^x) - (2x^4 + 3x^2)(\frac{10}{x^3} + 2e^x)}{(\frac{5}{x^2} + 2e^x)^2}$ : Cambio incorrecto del signo negativo al pasar el exponente al denominador ; $g'(x) = \frac{(8x^3 + 6x)(\frac{5}{x^2} + 2e^x) - (2x^4 + 3x^2)(-\frac{10}{x^2} + 2e^x)}{(\frac{5}{x^2} + 2e^x)^2}$ : Error de grado al reexpresar x^{-3} como denominador</t>
  </si>
  <si>
    <t>$$\frac{(8x^3 + 6x)(\frac{5}{x^2} + 2e^x) - (2x^4 + 3x^2)(-\frac{10}{x^3} + 2e^x)}{(\frac{5}{x^2} + 2e^x)^2}$$</t>
  </si>
  <si>
    <t>No la podemos descartar, es una ley,,,No la podemos descartar, es una ley</t>
  </si>
  <si>
    <t>experimentación,,,experimentación</t>
  </si>
  <si>
    <t>Si, es cierto,,,Si, es cierto</t>
  </si>
  <si>
    <t>Calcular la derivada de la función: $$g(x) = \frac{3x^5 + 4x^3}{3x^{-4} + 5e^x}$$ : Calculamos las derivadas individuales del numerador u'(x) y denominador v'(x) ,,, Aplicamos la regla del cociente \frac{u'v - uv'}{v^2} ,,, Acomodamos los exponentes negativos en los factores ,,, \frac{(15x^4 + 12x^2)(\frac{3}{x^4} + 5e^x) - (3x^5 + 4x^3)(-\frac{12}{x^5} + 5e^x)}{(\frac{3}{x^4} + 5e^x)^2}</t>
  </si>
  <si>
    <t>*$u'(x) = 15x^4 + 12x^2 \quad \text{y} \quad v'(x) = -12x^{-5} + 5e^x$ ; $u'(x) = 15x^4 + 12x^2 \quad \text{y} \quad v'(x) = 12x^{-3} + 5e^x$ : Error al derivar el exponente negativo en v(x) (-4 - 1 = -5) ; $u'(x) = 8x^4 + 7x^2 \quad \text{y} \quad v'(x) = -12x^{-5} + 5e^x$ : Suma de coeficiente y exponente en lugar de multiplicación ,,, *$g'(x) = \frac{(15x^4 + 12x^2)(3x^{-4} + 5e^x) - (3x^5 + 4x^3)(-12x^{-5} + 5e^x)}{(3x^{-4} + 5e^x)^2}$ ; $g'(x) = \frac{(15x^4 + 12x^2)(3x^{-4} + 5e^x) + (3x^5 + 4x^3)(-12x^{-5} + 5e^x)}{(3x^{-4} + 5e^x)^2}$ : Error de signo: suma en lugar de resta en el numerador del cociente ; $g'(x) = \frac{15x^4 + 12x^2}{-12x^{-5} + 5e^x}$ : Derivación directa de numerador sobre denominador sin regla de cociente ,,, *$g'(x) = \frac{(15x^4 + 12x^2)(\frac{3}{x^4} + 5e^x) - (3x^5 + 4x^3)(-\frac{12}{x^5} + 5e^x)}{(\frac{3}{x^4} + 5e^x)^2}$ ; $g'(x) = \frac{(15x^4 + 12x^2)(\frac{3}{x^4} + 5e^x) - (3x^5 + 4x^3)(\frac{12}{x^5} + 5e^x)}{(\frac{3}{x^4} + 5e^x)^2}$ : Cambio incorrecto del signo negativo al pasar el exponente al denominador ; $g'(x) = \frac{(15x^4 + 12x^2)(\frac{3}{x^4} + 5e^x) - (3x^5 + 4x^3)(-\frac{12}{x^4} + 5e^x)}{(\frac{3}{x^4} + 5e^x)^2}$ : Error de grado al reexpresar x^{-5} como denominador</t>
  </si>
  <si>
    <t>$$\frac{(15x^4 + 12x^2)(\frac{3}{x^4} + 5e^x) - (3x^5 + 4x^3)(-\frac{12}{x^5} + 5e^x)}{(\frac{3}{x^4} + 5e^x)^2}$$</t>
  </si>
  <si>
    <t>formular hipótesis,,,formular hipótesis</t>
  </si>
  <si>
    <t>Observar,,,Observar</t>
  </si>
  <si>
    <t>Hay que descartarla pues el contraejemplo puede ser 0 + 5 = 5,,,Hay que descartarla pues el contraejemplo puede ser 0 + 5 = 5</t>
  </si>
  <si>
    <t>Calcular la derivada de la función: $$g(x) = \frac{5x^3 + 2x^2}{4x^{-2} + 6e^x}$$ : Calculamos las derivadas individuales del numerador u'(x) y denominador v'(x) ,,, Aplicamos la regla del cociente \frac{u'v - uv'}{v^2} ,,, Acomodamos los exponentes negativos en los factores ,,, \frac{(15x^2 + 4x)(\frac{4}{x^2} + 6e^x) - (5x^3 + 2x^2)(-\frac{8}{x^3} + 6e^x)}{(\frac{4}{x^2} + 6e^x)^2}</t>
  </si>
  <si>
    <t>*$u'(x) = 15x^2 + 4x \quad \text{y} \quad v'(x) = -8x^{-3} + 6e^x$ ; $u'(x) = 15x^2 + 4x \quad \text{y} \quad v'(x) = 8x^{-1} + 6e^x$ : Error al derivar el exponente negativo en v(x) (-2 - 1 = -3) ; $u'(x) = 8x^2 + 4x \quad \text{y} \quad v'(x) = -8x^{-3} + 6e^x$ : Suma de coeficiente y exponente en lugar de multiplicación ,,, *$g'(x) = \frac{(15x^2 + 4x)(4x^{-2} + 6e^x) - (5x^3 + 2x^2)(-8x^{-3} + 6e^x)}{(4x^{-2} + 6e^x)^2}$ ; $g'(x) = \frac{(15x^2 + 4x)(4x^{-2} + 6e^x) + (5x^3 + 2x^2)(-8x^{-3} + 6e^x)}{(4x^{-2} + 6e^x)^2}$ : Error de signo: suma en lugar de resta en el numerador del cociente ; $g'(x) = \frac{15x^2 + 4x}{-8x^{-3} + 6e^x}$ : Derivación directa de numerador sobre denominador sin regla de cociente ,,, *$g'(x) = \frac{(15x^2 + 4x)(\frac{4}{x^2} + 6e^x) - (5x^3 + 2x^2)(-\frac{8}{x^3} + 6e^x)}{(\frac{4}{x^2} + 6e^x)^2}$ ; $g'(x) = \frac{(15x^2 + 4x)(\frac{4}{x^2} + 6e^x) - (5x^3 + 2x^2)(\frac{8}{x^3} + 6e^x)}{(\frac{4}{x^2} + 6e^x)^2}$ : Cambio incorrecto del signo negativo al pasar el exponente al denominador ; $g'(x) = \frac{(15x^2 + 4x)(\frac{4}{x^2} + 6e^x) - (5x^3 + 2x^2)(-\frac{8}{x^2} + 6e^x)}{(\frac{4}{x^2} + 6e^x)^2}$ : Error de grado al reexpresar x^{-3} como denominador</t>
  </si>
  <si>
    <t>$$\frac{(15x^2 + 4x)(\frac{4}{x^2} + 6e^x) - (5x^3 + 2x^2)(-\frac{8}{x^3} + 6e^x)}{(\frac{4}{x^2} + 6e^x)^2}$$</t>
  </si>
  <si>
    <t>la conclusión,,,la conclusión</t>
  </si>
  <si>
    <t>Pasa a ser un contraejemplo,,,Pasa a ser un contraejemplo</t>
  </si>
  <si>
    <t>Explicación,,,Explicación</t>
  </si>
  <si>
    <t>Calcular la derivada de la función: $$g(x) = \frac{2x^5 + 6x^3}{2x^{-3} + 4e^x}$$ : Calculamos las derivadas individuales del numerador u'(x) y denominador v'(x) ,,, Aplicamos la regla del cociente \frac{u'v - uv'}{v^2} ,,, Acomodamos los exponentes negativos en los factores ,,, \frac{(10x^4 + 18x^2)(\frac{2}{x^3} + 4e^x) - (2x^5 + 6x^3)(-\frac{6}{x^4} + 4e^x)}{(\frac{2}{x^3} + 4e^x)^2}</t>
  </si>
  <si>
    <t>MORENO, Santiago Benjamín</t>
  </si>
  <si>
    <t>*$u'(x) = 10x^4 + 18x^2 \quad \text{y} \quad v'(x) = -6x^{-4} + 4e^x$ ; $u'(x) = 10x^4 + 18x^2 \quad \text{y} \quad v'(x) = 6x^{-2} + 4e^x$ : Error al derivar el exponente negativo en v(x) (-3 - 1 = -4) ; $u'(x) = 7x^4 + 9x^2 \quad \text{y} \quad v'(x) = -6x^{-4} + 4e^x$ : Suma de coeficiente y exponente en lugar de multiplicación ,,, *$g'(x) = \frac{(10x^4 + 18x^2)(2x^{-3} + 4e^x) - (2x^5 + 6x^3)(-6x^{-4} + 4e^x)}{(2x^{-3} + 4e^x)^2}$ ; $g'(x) = \frac{(10x^4 + 18x^2)(2x^{-3} + 4e^x) + (2x^5 + 6x^3)(-6x^{-4} + 4e^x)}{(2x^{-3} + 4e^x)^2}$ : Error de signo: suma en lugar de resta en el numerador del cociente ; $g'(x) = \frac{10x^4 + 18x^2}{-6x^{-4} + 4e^x}$ : Derivación directa de numerador sobre denominador sin regla de cociente ,,, *$g'(x) = \frac{(10x^4 + 18x^2)(\frac{2}{x^3} + 4e^x) - (2x^5 + 6x^3)(-\frac{6}{x^4} + 4e^x)}{(\frac{2}{x^3} + 4e^x)^2}$ ; $g'(x) = \frac{(10x^4 + 18x^2)(\frac{2}{x^3} + 4e^x) - (2x^5 + 6x^3)(\frac{6}{x^4} + 4e^x)}{(\frac{2}{x^3} + 4e^x)^2}$ : Cambio incorrecto del signo negativo al pasar el exponente al denominador ; $g'(x) = \frac{(10x^4 + 18x^2)(\frac{2}{x^3} + 4e^x) - (2x^5 + 6x^3)(-\frac{6}{x^3} + 4e^x)}{(\frac{2}{x^3} + 4e^x)^2}$ : Error de grado al reexpresar x^{-4} como denominador</t>
  </si>
  <si>
    <t>$$\frac{(10x^4 + 18x^2)(\frac{2}{x^3} + 4e^x) - (2x^5 + 6x^3)(-\frac{6}{x^4} + 4e^x)}{(\frac{2}{x^3} + 4e^x)^2}$$</t>
  </si>
  <si>
    <t>3,,,3</t>
  </si>
  <si>
    <t>Calcular la derivada de la función: $$g(x) = \frac{6x^4 + 2x^2}{3x^{-5} + 2e^x}$$ : Calculamos las derivadas individuales del numerador u'(x) y denominador v'(x) ,,, Aplicamos la regla del cociente \frac{u'v - uv'}{v^2} ,,, Acomodamos los exponentes negativos en los factores ,,, \frac{(24x^3 + 4x)(\frac{3}{x^5} + 2e^x) - (6x^4 + 2x^2)(-\frac{15}{x^6} + 2e^x)}{(\frac{3}{x^5} + 2e^x)^2}</t>
  </si>
  <si>
    <t>*$u'(x) = 24x^3 + 4x \quad \text{y} \quad v'(x) = -15x^{-6} + 2e^x$ ; $u'(x) = 24x^3 + 4x \quad \text{y} \quad v'(x) = 15x^{-4} + 2e^x$ : Error al derivar el exponente negativo en v(x) (-5 - 1 = -6) ; $u'(x) = 10x^3 + 4x \quad \text{y} \quad v'(x) = -15x^{-6} + 2e^x$ : Suma de coeficiente y exponente en lugar de multiplicación ,,, *$g'(x) = \frac{(24x^3 + 4x)(3x^{-5} + 2e^x) - (6x^4 + 2x^2)(-15x^{-6} + 2e^x)}{(3x^{-5} + 2e^x)^2}$ ; $g'(x) = \frac{(24x^3 + 4x)(3x^{-5} + 2e^x) + (6x^4 + 2x^2)(-15x^{-6} + 2e^x)}{(3x^{-5} + 2e^x)^2}$ : Error de signo: suma en lugar de resta en el numerador del cociente ; $g'(x) = \frac{24x^3 + 4x}{-15x^{-6} + 2e^x}$ : Derivación directa de numerador sobre denominador sin regla de cociente ,,, *$g'(x) = \frac{(24x^3 + 4x)(\frac{3}{x^5} + 2e^x) - (6x^4 + 2x^2)(-\frac{15}{x^6} + 2e^x)}{(\frac{3}{x^5} + 2e^x)^2}$ ; $g'(x) = \frac{(24x^3 + 4x)(\frac{3}{x^5} + 2e^x) - (6x^4 + 2x^2)(\frac{15}{x^6} + 2e^x)}{(\frac{3}{x^5} + 2e^x)^2}$ : Cambio incorrecto del signo negativo al pasar el exponente al denominador ; $g'(x) = \frac{(24x^3 + 4x)(\frac{3}{x^5} + 2e^x) - (6x^4 + 2x^2)(-\frac{15}{x^5} + 2e^x)}{(\frac{3}{x^5} + 2e^x)^2}$ : Error de grado al reexpresar x^{-6} como denominador</t>
  </si>
  <si>
    <t>$$\frac{(24x^3 + 4x)(\frac{3}{x^5} + 2e^x) - (6x^4 + 2x^2)(-\frac{15}{x^6} + 2e^x)}{(\frac{3}{x^5} + 2e^x)^2}$$</t>
  </si>
  <si>
    <t>ROMERO GONZÁLEZ, Isis Mariela</t>
  </si>
  <si>
    <t>Calcular la derivada de la función: $$g(x) = \frac{4x^5 + 3x^3}{5x^{-3} + 3e^x}$$ : Calculamos las derivadas individuales del numerador u'(x) y denominador v'(x) ,,, Aplicamos la regla del cociente \frac{u'v - uv'}{v^2} ,,, Acomodamos los exponentes negativos en los factores ,,, \frac{(20x^4 + 9x^2)(\frac{5}{x^3} + 3e^x) - (4x^5 + 3x^3)(-\frac{15}{x^4} + 3e^x)}{(\frac{5}{x^3} + 3e^x)^2}</t>
  </si>
  <si>
    <t>*$u'(x) = 20x^4 + 9x^2 \quad \text{y} \quad v'(x) = -15x^{-4} + 3e^x$ ; $u'(x) = 20x^4 + 9x^2 \quad \text{y} \quad v'(x) = 15x^{-2} + 3e^x$ : Error al derivar el exponente negativo en v(x) (-3 - 1 = -4) ; $u'(x) = 9x^4 + 6x^2 \quad \text{y} \quad v'(x) = -15x^{-4} + 3e^x$ : Suma de coeficiente y exponente en lugar de multiplicación ,,, *$g'(x) = \frac{(20x^4 + 9x^2)(5x^{-3} + 3e^x) - (4x^5 + 3x^3)(-15x^{-4} + 3e^x)}{(5x^{-3} + 3e^x)^2}$ ; $g'(x) = \frac{(20x^4 + 9x^2)(5x^{-3} + 3e^x) + (4x^5 + 3x^3)(-15x^{-4} + 3e^x)}{(5x^{-3} + 3e^x)^2}$ : Error de signo: suma en lugar de resta en el numerador del cociente ; $g'(x) = \frac{20x^4 + 9x^2}{-15x^{-4} + 3e^x}$ : Derivación directa de numerador sobre denominador sin regla de cociente ,,, *$g'(x) = \frac{(20x^4 + 9x^2)(\frac{5}{x^3} + 3e^x) - (4x^5 + 3x^3)(-\frac{15}{x^4} + 3e^x)}{(\frac{5}{x^3} + 3e^x)^2}$ ; $g'(x) = \frac{(20x^4 + 9x^2)(\frac{5}{x^3} + 3e^x) - (4x^5 + 3x^3)(\frac{15}{x^4} + 3e^x)}{(\frac{5}{x^3} + 3e^x)^2}$ : Cambio incorrecto del signo negativo al pasar el exponente al denominador ; $g'(x) = \frac{(20x^4 + 9x^2)(\frac{5}{x^3} + 3e^x) - (4x^5 + 3x^3)(-\frac{15}{x^3} + 3e^x)}{(\frac{5}{x^3} + 3e^x)^2}$ : Error de grado al reexpresar x^{-4} como denominador</t>
  </si>
  <si>
    <t>$$\frac{(20x^4 + 9x^2)(\frac{5}{x^3} + 3e^x) - (4x^5 + 3x^3)(-\frac{15}{x^4} + 3e^x)}{(\frac{5}{x^3} + 3e^x)^2}$$</t>
  </si>
  <si>
    <t>Calcular la derivada de la función: $$g(x) = \frac{3x^4 + 5x^3}{4x^{-4} + 2e^x}$$ : Calculamos las derivadas individuales del numerador u'(x) y denominador v'(x) ,,, Aplicamos la regla del cociente \frac{u'v - uv'}{v^2} ,,, Acomodamos los exponentes negativos en los factores ,,, \frac{(12x^3 + 15x^2)(\frac{4}{x^4} + 2e^x) - (3x^4 + 5x^3)(-\frac{16}{x^5} + 2e^x)}{(\frac{4}{x^4} + 2e^x)^2}</t>
  </si>
  <si>
    <t>*$u'(x) = 12x^3 + 15x^2 \quad \text{y} \quad v'(x) = -16x^{-5} + 2e^x$ ; $u'(x) = 12x^3 + 15x^2 \quad \text{y} \quad v'(x) = 16x^{-3} + 2e^x$ : Error al derivar el exponente negativo en v(x) (-4 - 1 = -5) ; $u'(x) = 7x^3 + 8x^2 \quad \text{y} \quad v'(x) = -16x^{-5} + 2e^x$ : Suma de coeficiente y exponente en lugar de multiplicación ,,, *$g'(x) = \frac{(12x^3 + 15x^2)(4x^{-4} + 2e^x) - (3x^4 + 5x^3)(-16x^{-5} + 2e^x)}{(4x^{-4} + 2e^x)^2}$ ; $g'(x) = \frac{(12x^3 + 15x^2)(4x^{-4} + 2e^x) + (3x^4 + 5x^3)(-16x^{-5} + 2e^x)}{(4x^{-4} + 2e^x)^2}$ : Error de signo: suma en lugar de resta en el numerador del cociente ; $g'(x) = \frac{12x^3 + 15x^2}{-16x^{-5} + 2e^x}$ : Derivación directa de numerador sobre denominador sin regla de cociente ,,, *$g'(x) = \frac{(12x^3 + 15x^2)(\frac{4}{x^4} + 2e^x) - (3x^4 + 5x^3)(-\frac{16}{x^5} + 2e^x)}{(\frac{4}{x^4} + 2e^x)^2}$ ; $g'(x) = \frac{(12x^3 + 15x^2)(\frac{4}{x^4} + 2e^x) - (3x^4 + 5x^3)(\frac{16}{x^5} + 2e^x)}{(\frac{4}{x^4} + 2e^x)^2}$ : Cambio incorrecto del signo negativo al pasar el exponente al denominador ; $g'(x) = \frac{(12x^3 + 15x^2)(\frac{4}{x^4} + 2e^x) - (3x^4 + 5x^3)(-\frac{16}{x^4} + 2e^x)}{(\frac{4}{x^4} + 2e^x)^2}$ : Error de grado al reexpresar x^{-5} como denominador</t>
  </si>
  <si>
    <t>$$\frac{(12x^3 + 15x^2)(\frac{4}{x^4} + 2e^x) - (3x^4 + 5x^3)(-\frac{16}{x^5} + 2e^x)}{(\frac{4}{x^4} + 2e^x)^2}$$</t>
  </si>
  <si>
    <t>EJE3</t>
  </si>
  <si>
    <t>Calcular la derivada de la función: $$h(x) = 3\cos^2(4x^{-2} + 5x^3)\sqrt[3]{2e^x + 1}$$ : Calculamos las derivadas individuales u'(x) y v'(x) usando la regla de la cadena ,,, Aplicamos la regla del producto u'v + uv' ,,, Acomodamos los exponentes negativos y la forma radical ,,, -6\cos(4x^{-2} + 5x^3)\sin(4x^{-2} + 5x^3)\left(-\frac{8}{x^3} + 15x^2\right)\sqrt[3]{2e^x + 1} + \frac{2e^x \cos^2(4x^{-2} + 5x^3)}{\sqrt[3]{(2e^x + 1)^2}}</t>
  </si>
  <si>
    <t>*$u'(x) = -6\cos(4x^{-2} + 5x^3)\sin(4x^{-2} + 5x^3)(-8x^{-3} + 15x^2) \quad \text{y} \quad v'(x) = \frac{1}{3}(2e^x + 1)^{-\frac{2}{3}}(2e^x)$ ; $u'(x) = 6\cos(4x^{-2} + 5x^3)\sin(4x^{-2} + 5x^3)(-8x^{-3} + 15x^2) \quad \text{y} \quad v'(x) = \frac{1}{3}(2e^x + 1)^{-\frac{2}{3}}(2e^x)$ : Error de signo al derivar el coseno (derivada de cos es -sin) ; $u'(x) = -6\cos(4x^{-2} + 5x^3)\sin(4x^{-2} + 5x^3)(8x^{-1} + 15x^2) \quad \text{y} \quad v'(x) = \frac{1}{3}(2e^x + 1)^{-\frac{2}{3}}(2e^x)$ : Error al restar 1 en el exponente negativo (-2 - 1 = -3) ,,, *$h'(x) = u'(x)\sqrt[3]{2e^x + 1} + 3\cos^2(4x^{-2} + 5x^3)v'(x)$ ; $h'(x) = u'(x)\sqrt[3]{2e^x + 1} - 3\cos^2(4x^{-2} + 5x^3)v'(x)$ : Error de fórmula: resta en lugar de suma en la regla del producto ; $h'(x) = u'(x) \cdot v'(x)$ : Derivación directa de factores sin aplicar regla del producto ,,, *$h'(x) = -6\cos(4x^{-2} + 5x^3)\sin(4x^{-2} + 5x^3)\left(-\frac{8}{x^3} + 15x^2\right)\sqrt[3]{2e^x + 1} + \frac{2e^x \cos^2(4x^{-2} + 5x^3)}{\sqrt[3]{(2e^x + 1)^2}}$ ; $h'(x) = -6\cos(4x^{-2} + 5x^3)\sin(4x^{-2} + 5x^3)\left(\frac{8}{x^3} + 15x^2\right)\sqrt[3]{2e^x + 1} + \frac{2e^x \cos^2(4x^{-2} + 5x^3)}{\sqrt[3]{(2e^x + 1)^2}}$ : Cambio incorrecto de signo al pasar x^{-3} al denominador ; $h'(x) = -6\cos(4x^{-2} + 5x^3)\sin(4x^{-2} + 5x^3)\left(-\frac{8}{x^3} + 15x^2\right)\sqrt[3]{2e^x + 1} + \frac{2e^x \cos^2(4x^{-2} + 5x^3)}{\sqrt[3]{2e^x + 1}}$ : Olvido de elevar al cuadrado el radicando tras pasar exponente -2/3 a radical</t>
  </si>
  <si>
    <t>$$-6\cos(4x^{-2} + 5x^3)\sin(4x^{-2} + 5x^3)\left(-\frac{8}{x^3} + 15x^2\right)\sqrt[3]{2e^x + 1} + \frac{2e^x \cos^2(4x^{-2} + 5x^3)}{\sqrt[3]{(2e^x + 1)^2}}$$</t>
  </si>
  <si>
    <t>MESU SORIANO, Joaquina</t>
  </si>
  <si>
    <t>Calcular la derivada de la función: $$h(x) = 2\cos^2(3x^{-3} + 4x^2)\sqrt[4]{3e^x + 2}$$ : Calculamos las derivadas individuales u'(x) y v'(x) usando la regla de la cadena ,,, Aplicamos la regla del producto u'v + uv' ,,, Acomodamos los exponentes negativos y la forma radical ,,, -4\cos(3x^{-3} + 4x^2)\sin(3x^{-3} + 4x^2)\left(-\frac{9}{x^4} + 8x\right)\sqrt[4]{3e^x + 2} + \frac{3e^x \cos^2(3x^{-3} + 4x^2)}{2\sqrt[4]{(3e^x + 2)^3}}</t>
  </si>
  <si>
    <t>*$u'(x) = -4\cos(3x^{-3} + 4x^2)\sin(3x^{-3} + 4x^2)(-9x^{-4} + 8x) \quad \text{y} \quad v'(x) = \frac{3}{4}(3e^x + 2)^{-\frac{3}{4}}e^x$ ; $u'(x) = 4\cos(3x^{-3} + 4x^2)\sin(3x^{-3} + 4x^2)(-9x^{-4} + 8x) \quad \text{y} \quad v'(x) = \frac{3}{4}(3e^x + 2)^{-\frac{3}{4}}e^x$ : Error de signo al derivar el coseno (derivada de cos es -sin) ; $u'(x) = -4\cos(3x^{-3} + 4x^2)\sin(3x^{-3} + 4x^2)(9x^{-2} + 8x) \quad \text{y} \quad v'(x) = \frac{3}{4}(3e^x + 2)^{-\frac{3}{4}}e^x$ : Error al restar 1 en el exponente negativo (-3 - 1 = -4) ,,, *$h'(x) = u'(x)\sqrt[4]{3e^x + 2} + 2\cos^2(3x^{-3} + 4x^2)v'(x)$ ; $h'(x) = u'(x)\sqrt[4]{3e^x + 2} - 2\cos^2(3x^{-3} + 4x^2)v'(x)$ : Error de fórmula: resta en lugar de suma en la regla del producto ; $h'(x) = u'(x) \cdot v'(x)$ : Derivación directa de factores sin aplicar regla del producto ,,, *$h'(x) = -4\cos(3x^{-3} + 4x^2)\sin(3x^{-3} + 4x^2)\left(-\frac{9}{x^4} + 8x\right)\sqrt[4]{3e^x + 2} + \frac{3e^x \cos^2(3x^{-3} + 4x^2)}{2\sqrt[4]{(3e^x + 2)^3}}$ ; $h'(x) = -4\cos(3x^{-3} + 4x^2)\sin(3x^{-3} + 4x^2)\left(\frac{9}{x^4} + 8x\right)\sqrt[4]{3e^x + 2} + \frac{3e^x \cos^2(3x^{-3} + 4x^2)}{2\sqrt[4]{(3e^x + 2)^3}}$ : Cambio incorrecto de signo al pasar x^{-4} al denominador ; $h'(x) = -4\cos(3x^{-3} + 4x^2)\sin(3x^{-3} + 4x^2)\left(-\frac{9}{x^4} + 8x\right)\sqrt[4]{3e^x + 2} + \frac{3e^x \cos^2(3x^{-3} + 4x^2)}{2\sqrt[4]{3e^x + 2}}$ : Olvido de elevar al cubo el radicando tras pasar exponente -3/4 a radical</t>
  </si>
  <si>
    <t>$$-4\cos(3x^{-3} + 4x^2)\sin(3x^{-3} + 4x^2)\left(-\frac{9}{x^4} + 8x\right)\sqrt[4]{3e^x + 2} + \frac{3e^x \cos^2(3x^{-3} + 4x^2)}{2\sqrt[4]{(3e^x + 2)^3}}$$</t>
  </si>
  <si>
    <t>Calcular la derivada de la función: $$h(x) = 4\cos^2(2x^{-4} + 3x^3)\sqrt[3]{5e^x + 1}$$ : Calculamos las derivadas individuales u'(x) y v'(x) usando la regla de la cadena ,,, Aplicamos la regla del producto u'v + uv' ,,, Acomodamos los exponentes negativos y la forma radical ,,, -8\cos(2x^{-4} + 3x^3)\sin(2x^{-4} + 3x^3)\left(-\frac{8}{x^5} + 9x^2\right)\sqrt[3]{5e^x + 1} + \frac{20e^x \cos^2(2x^{-4} + 3x^3)}{3\sqrt[3]{(5e^x + 1)^2}}</t>
  </si>
  <si>
    <t>*$u'(x) = -8\cos(2x^{-4} + 3x^3)\sin(2x^{-4} + 3x^3)(-8x^{-5} + 9x^2) \quad \text{y} \quad v'(x) = \frac{5}{3}(5e^x + 1)^{-\frac{2}{3}}e^x$ ; $u'(x) = 8\cos(2x^{-4} + 3x^3)\sin(2x^{-4} + 3x^3)(-8x^{-5} + 9x^2) \quad \text{y} \quad v'(x) = \frac{5}{3}(5e^x + 1)^{-\frac{2}{3}}e^x$ : Error de signo al derivar el coseno (derivada de cos es -sin) ; $u'(x) = -8\cos(2x^{-4} + 3x^3)\sin(2x^{-4} + 3x^3)(8x^{-3} + 9x^2) \quad \text{y} \quad v'(x) = \frac{5}{3}(5e^x + 1)^{-\frac{2}{3}}e^x$ : Error al restar 1 en el exponente negativo (-4 - 1 = -5) ,,, *$h'(x) = u'(x)\sqrt[3]{5e^x + 1} + 4\cos^2(2x^{-4} + 3x^3)v'(x)$ ; $h'(x) = u'(x)\sqrt[3]{5e^x + 1} - 4\cos^2(2x^{-4} + 3x^3)v'(x)$ : Error de fórmula: resta en lugar de suma en la regla del producto ; $h'(x) = u'(x) \cdot v'(x)$ : Derivación directa de factores sin aplicar regla del producto ,,, *$h'(x) = -8\cos(2x^{-4} + 3x^3)\sin(2x^{-4} + 3x^3)\left(-\frac{8}{x^5} + 9x^2\right)\sqrt[3]{5e^x + 1} + \frac{20e^x \cos^2(2x^{-4} + 3x^3)}{3\sqrt[3]{(5e^x + 1)^2}}$ ; $h'(x) = -8\cos(2x^{-4} + 3x^3)\sin(2x^{-4} + 3x^3)\left(\frac{8}{x^5} + 9x^2\right)\sqrt[3]{5e^x + 1} + \frac{20e^x \cos^2(2x^{-4} + 3x^3)}{3\sqrt[3]{(5e^x + 1)^2}}$ : Cambio incorrecto de signo al pasar x^{-5} al denominador ; $h'(x) = -8\cos(2x^{-4} + 3x^3)\sin(2x^{-4} + 3x^3)\left(-\frac{8}{x^5} + 9x^2\right)\sqrt[3]{5e^x + 1} + \frac{20e^x \cos^2(2x^{-4} + 3x^3)}{3\sqrt[3]{5e^x + 1}}$ : Olvido de elevar al cuadrado el radicando tras pasar exponente -2/3 a radical</t>
  </si>
  <si>
    <t>$$-8\cos(2x^{-4} + 3x^3)\sin(2x^{-4} + 3x^3)\left(-\frac{8}{x^5} + 9x^2\right)\sqrt[3]{5e^x + 1} + \frac{20e^x \cos^2(2x^{-4} + 3x^3)}{3\sqrt[3]{(5e^x + 1)^2}}$$</t>
  </si>
  <si>
    <t>Calcular la derivada de la función: $$h(x) = 5\cos^2(5x^{-2} + 2x^4)\sqrt[5]{4e^x + 3}$$ : Calculamos las derivadas individuales u'(x) y v'(x) usando la regla de la cadena ,,, Aplicamos la regla del producto u'v + uv' ,,, Acomodamos los exponentes negativos y la forma radical ,,, -10\cos(5x^{-2} + 2x^4)\sin(5x^{-2} + 2x^4)\left(-\frac{10}{x^3} + 8x^3\right)\sqrt[5]{4e^x + 3} + \frac{4e^x \cos^2(5x^{-2} + 2x^4)}{\sqrt[5]{(4e^x + 3)^4}}</t>
  </si>
  <si>
    <t>*$u'(x) = -10\cos(5x^{-2} + 2x^4)\sin(5x^{-2} + 2x^4)(-10x^{-3} + 8x^3) \quad \text{y} \quad v'(x) = \frac{4}{5}(4e^x + 3)^{-\frac{4}{5}}e^x$ ; $u'(x) = 10\cos(5x^{-2} + 2x^4)\sin(5x^{-2} + 2x^4)(-10x^{-3} + 8x^3) \quad \text{y} \quad v'(x) = \frac{4}{5}(4e^x + 3)^{-\frac{4}{5}}e^x$ : Error de signo al derivar el coseno (derivada de cos es -sin) ; $u'(x) = -10\cos(5x^{-2} + 2x^4)\sin(5x^{-2} + 2x^4)(10x^{-1} + 8x^3) \quad \text{y} \quad v'(x) = \frac{4}{5}(4e^x + 3)^{-\frac{4}{5}}e^x$ : Error al restar 1 en el exponente negativo (-2 - 1 = -3) ,,, *$h'(x) = u'(x)\sqrt[5]{4e^x + 3} + 5\cos^2(5x^{-2} + 2x^4)v'(x)$ ; $h'(x) = u'(x)\sqrt[5]{4e^x + 3} - 5\cos^2(5x^{-2} + 2x^4)v'(x)$ : Error de fórmula: resta en lugar de suma en la regla del producto ; $h'(x) = u'(x) \cdot v'(x)$ : Derivación directa de factores sin aplicar regla del producto ,,, *$h'(x) = -10\cos(5x^{-2} + 2x^4)\sin(5x^{-2} + 2x^4)\left(-\frac{10}{x^3} + 8x^3\right)\sqrt[5]{4e^x + 3} + \frac{4e^x \cos^2(5x^{-2} + 2x^4)}{\sqrt[5]{(4e^x + 3)^4}}$ ; $h'(x) = -10\cos(5x^{-2} + 2x^4)\sin(5x^{-2} + 2x^4)\left(\frac{10}{x^3} + 8x^3\right)\sqrt[5]{4e^x + 3} + \frac{4e^x \cos^2(5x^{-2} + 2x^4)}{\sqrt[5]{(4e^x + 3)^4}}$ : Cambio incorrecto de signo al pasar x^{-3} al denominador ; $h'(x) = -10\cos(5x^{-2} + 2x^4)\sin(5x^{-2} + 2x^4)\left(-\frac{10}{x^3} + 8x^3\right)\sqrt[5]{4e^x + 3} + \frac{4e^x \cos^2(5x^{-2} + 2x^4)}{\sqrt[5]{4e^x + 3}}$ : Olvido de elevar a la cuarta el radicando tras pasar exponente -4/5 a radical</t>
  </si>
  <si>
    <t>$$-10\cos(5x^{-2} + 2x^4)\sin(5x^{-2} + 2x^4)\left(-\frac{10}{x^3} + 8x^3\right)\sqrt[5]{4e^x + 3} + \frac{4e^x \cos^2(5x^{-2} + 2x^4)}{\sqrt[5]{(4e^x + 3)^4}}$$</t>
  </si>
  <si>
    <t>Calcular la derivada de la función: $$h(x) = 2\cos^2(6x^{-3} + 3x^2)\sqrt[3]{4e^x + 1}$$ : Calculamos las derivadas individuales u'(x) y v'(x) usando la regla de la cadena ,,, Aplicamos la regla del producto u'v + uv' ,,, Acomodamos los exponentes negativos y la forma radical ,,, -4\cos(6x^{-3} + 3x^2)\sin(6x^{-3} + 3x^2)\left(-\frac{18}{x^4} + 6x\right)\sqrt[3]{4e^x + 1} + \frac{8e^x \cos^2(6x^{-3} + 3x^2)}{3\sqrt[3]{(4e^x + 1)^2}}</t>
  </si>
  <si>
    <t>*$u'(x) = -4\cos(6x^{-3} + 3x^2)\sin(6x^{-3} + 3x^2)(-18x^{-4} + 6x) \quad \text{y} \quad v'(x) = \frac{4}{3}(4e^x + 1)^{-\frac{2}{3}}e^x$ ; $u'(x) = 4\cos(6x^{-3} + 3x^2)\sin(6x^{-3} + 3x^2)(-18x^{-4} + 6x) \quad \text{y} \quad v'(x) = \frac{4}{3}(4e^x + 1)^{-\frac{2}{3}}e^x$ : Error de signo al derivar el coseno (derivada de cos es -sin) ; $u'(x) = -4\cos(6x^{-3} + 3x^2)\sin(6x^{-3} + 3x^2)(18x^{-2} + 6x) \quad \text{y} \quad v'(x) = \frac{4}{3}(4e^x + 1)^{-\frac{2}{3}}e^x$ : Error al restar 1 en el exponente negativo (-3 - 1 = -4) ,,, *$h'(x) = u'(x)\sqrt[3]{4e^x + 1} + 2\cos^2(6x^{-3} + 3x^2)v'(x)$ ; $h'(x) = u'(x)\sqrt[3]{4e^x + 1} - 2\cos^2(6x^{-3} + 3x^2)v'(x)$ : Error de fórmula: resta en lugar de suma en la regla del producto ; $h'(x) = u'(x) \cdot v'(x)$ : Derivación directa de factores sin aplicar regla del producto ,,, *$h'(x) = -4\cos(6x^{-3} + 3x^2)\sin(6x^{-3} + 3x^2)\left(-\frac{18}{x^4} + 6x\right)\sqrt[3]{4e^x + 1} + \frac{8e^x \cos^2(6x^{-3} + 3x^2)}{3\sqrt[3]{(4e^x + 1)^2}}$ ; $h'(x) = -4\cos(6x^{-3} + 3x^2)\sin(6x^{-3} + 3x^2)\left(\frac{18}{x^4} + 6x\right)\sqrt[3]{4e^x + 1} + \frac{8e^x \cos^2(6x^{-3} + 3x^2)}{3\sqrt[3]{(4e^x + 1)^2}}$ : Cambio incorrecto de signo al pasar x^{-4} al denominador ; $h'(x) = -4\cos(6x^{-3} + 3x^2)\sin(6x^{-3} + 3x^2)\left(-\frac{18}{x^4} + 6x\right)\sqrt[3]{4e^x + 1} + \frac{8e^x \cos^2(6x^{-3} + 3x^2)}{3\sqrt[3]{4e^x + 1}}$ : Olvido de elevar al cuadrado el radicando tras pasar exponente -2/3 a radical</t>
  </si>
  <si>
    <t>$$-4\cos(6x^{-3} + 3x^2)\sin(6x^{-3} + 3x^2)\left(-\frac{18}{x^4} + 6x\right)\sqrt[3]{4e^x + 1} + \frac{8e^x \cos^2(6x^{-3} + 3x^2)}{3\sqrt[3]{(4e^x + 1)^2}}$$</t>
  </si>
  <si>
    <t>Calcular la derivada de la función: $$h(x) = 3\cos^2(2x^{-5} + 4x^3)\sqrt[4]{2e^x + 5}$$ : Calculamos las derivadas individuales u'(x) y v'(x) usando la regla de la cadena ,,, Aplicamos la regla del producto u'v + uv' ,,, Acomodamos los exponentes negativos y la forma radical ,,, -6\cos(2x^{-5} + 4x^3)\sin(2x^{-5} + 4x^3)\left(-\frac{10}{x^6} + 12x^2\right)\sqrt[4]{2e^x + 5} + \frac{3e^x \cos^2(2x^{-5} + 4x^3)}{2\sqrt[4]{(2e^x + 5)^3}}</t>
  </si>
  <si>
    <t>*$u'(x) = -6\cos(2x^{-5} + 4x^3)\sin(2x^{-5} + 4x^3)(-10x^{-6} + 12x^2) \quad \text{y} \quad v'(x) = \frac{1}{2}(2e^x + 5)^{-\frac{3}{4}}e^x$ ; $u'(x) = 6\cos(2x^{-5} + 4x^3)\sin(2x^{-5} + 4x^3)(-10x^{-6} + 12x^2) \quad \text{y} \quad v'(x) = \frac{1}{2}(2e^x + 5)^{-\frac{3}{4}}e^x$ : Error de signo al derivar el coseno (derivada de cos es -sin) ; $u'(x) = -6\cos(2x^{-5} + 4x^3)\sin(2x^{-5} + 4x^3)(10x^{-4} + 12x^2) \quad \text{y} \quad v'(x) = \frac{1}{2}(2e^x + 5)^{-\frac{3}{4}}e^x$ : Error al restar 1 en el exponente negativo (-5 - 1 = -6) ,,, *$h'(x) = u'(x)\sqrt[4]{2e^x + 5} + 3\cos^2(2x^{-5} + 4x^3)v'(x)$ ; $h'(x) = u'(x)\sqrt[4]{2e^x + 5} - 3\cos^2(2x^{-5} + 4x^3)v'(x)$ : Error de fórmula: resta en lugar de suma en la regla del producto ; $h'(x) = u'(x) \cdot v'(x)$ : Derivación directa de factores sin aplicar regla del producto ,,, *$h'(x) = -6\cos(2x^{-5} + 4x^3)\sin(2x^{-5} + 4x^3)\left(-\frac{10}{x^6} + 12x^2\right)\sqrt[4]{2e^x + 5} + \frac{3e^x \cos^2(2x^{-5} + 4x^3)}{2\sqrt[4]{(2e^x + 5)^3}}$ ; $h'(x) = -6\cos(2x^{-5} + 4x^3)\sin(2x^{-5} + 4x^3)\left(\frac{10}{x^6} + 12x^2\right)\sqrt[4]{2e^x + 5} + \frac{3e^x \cos^2(2x^{-5} + 4x^3)}{2\sqrt[4]{(2e^x + 5)^3}}$ : Cambio incorrecto de signo al pasar x^{-6} al denominador ; $h'(x) = -6\cos(2x^{-5} + 4x^3)\sin(2x^{-5} + 4x^3)\left(-\frac{10}{x^6} + 12x^2\right)\sqrt[4]{2e^x + 5} + \frac{3e^x \cos^2(2x^{-5} + 4x^3)}{2\sqrt[4]{2e^x + 5}}$ : Olvido de elevar al cubo el radicando tras pasar exponente -3/4 a radical</t>
  </si>
  <si>
    <t>$$-6\cos(2x^{-5} + 4x^3)\sin(2x^{-5} + 4x^3)\left(-\frac{10}{x^6} + 12x^2\right)\sqrt[4]{2e^x + 5} + \frac{3e^x \cos^2(2x^{-5} + 4x^3)}{2\sqrt[4]{(2e^x + 5)^3}}$$</t>
  </si>
  <si>
    <t>Calcular la derivada de la función: $$h(x) = 6\cos^2(3x^{-2} + 2x^5)\sqrt[3]{3e^x + 4}$$ : Calculamos las derivadas individuales u'(x) y v'(x) usando la regla de la cadena ,,, Aplicamos la regla del producto u'v + uv' ,,, Acomodamos los exponentes negativos y la forma radical ,,, -12\cos(3x^{-2} + 2x^5)\sin(3x^{-2} + 2x^5)\left(-\frac{6}{x^3} + 10x^4\right)\sqrt[3]{3e^x + 4} + \frac{6e^x \cos^2(3x^{-2} + 2x^5)}{\sqrt[3]{(3e^x + 4)^2}}</t>
  </si>
  <si>
    <t>*$u'(x) = -12\cos(3x^{-2} + 2x^5)\sin(3x^{-2} + 2x^5)(-6x^{-3} + 10x^4) \quad \text{y} \quad v'(x) = (3e^x + 4)^{-\frac{2}{3}}e^x$ ; $u'(x) = 12\cos(3x^{-2} + 2x^5)\sin(3x^{-2} + 2x^5)(-6x^{-3} + 10x^4) \quad \text{y} \quad v'(x) = (3e^x + 4)^{-\frac{2}{3}}e^x$ : Error de signo al derivar el coseno (derivada de cos es -sin) ; $u'(x) = -12\cos(3x^{-2} + 2x^5)\sin(3x^{-2} + 2x^5)(6x^{-1} + 10x^4) \quad \text{y} \quad v'(x) = (3e^x + 4)^{-\frac{2}{3}}e^x$ : Error al restar 1 en el exponente negativo (-2 - 1 = -3) ,,, *$h'(x) = u'(x)\sqrt[3]{3e^x + 4} + 6\cos^2(3x^{-2} + 2x^5)v'(x)$ ; $h'(x) = u'(x)\sqrt[3]{3e^x + 4} - 6\cos^2(3x^{-2} + 2x^5)v'(x)$ : Error de fórmula: resta en lugar de suma en la regla del producto ; $h'(x) = u'(x) \cdot v'(x)$ : Derivación directa de factores sin aplicar regla del producto ,,, *$h'(x) = -12\cos(3x^{-2} + 2x^5)\sin(3x^{-2} + 2x^5)\left(-\frac{6}{x^3} + 10x^4\right)\sqrt[3]{3e^x + 4} + \frac{6e^x \cos^2(3x^{-2} + 2x^5)}{\sqrt[3]{(3e^x + 4)^2}}$ ; $h'(x) = -12\cos(3x^{-2} + 2x^5)\sin(3x^{-2} + 2x^5)\left(\frac{6}{x^3} + 10x^4\right)\sqrt[3]{3e^x + 4} + \frac{6e^x \cos^2(3x^{-2} + 2x^5)}{\sqrt[3]{(3e^x + 4)^2}}$ : Cambio incorrecto de signo al pasar x^{-3} al denominador ; $h'(x) = -12\cos(3x^{-2} + 2x^5)\sin(3x^{-2} + 2x^5)\left(-\frac{6}{x^3} + 10x^4\right)\sqrt[3]{3e^x + 4} + \frac{6e^x \cos^2(3x^{-2} + 2x^5)}{\sqrt[3]{3e^x + 4}}$ : Olvido de elevar al cuadrado el radicando tras pasar exponente -2/3 a radical</t>
  </si>
  <si>
    <t>$$-12\cos(3x^{-2} + 2x^5)\sin(3x^{-2} + 2x^5)\left(-\frac{6}{x^3} + 10x^4\right)\sqrt[3]{3e^x + 4} + \frac{6e^x \cos^2(3x^{-2} + 2x^5)}{\sqrt[3]{(3e^x + 4)^2}}$$</t>
  </si>
  <si>
    <t>Calcular la derivada de la función: $$h(x) = 4\cos^2(4x^{-3} + 5x^2)\sqrt[5]{5e^x + 2}$$ : Calculamos las derivadas individuales u'(x) y v'(x) usando la regla de la cadena ,,, Aplicamos la regla del producto u'v + uv' ,,, Acomodamos los exponentes negativos y la forma radical ,,, -8\cos(4x^{-3} + 5x^2)\sin(4x^{-3} + 5x^2)\left(-\frac{12}{x^4} + 10x\right)\sqrt[5]{5e^x + 2} + \frac{4e^x \cos^2(4x^{-3} + 5x^2)}{\sqrt[5]{(5e^x + 2)^4}}</t>
  </si>
  <si>
    <t>*$u'(x) = -8\cos(4x^{-3} + 5x^2)\sin(4x^{-3} + 5x^2)(-12x^{-4} + 10x) \quad \text{y} \quad v'(x) = (5e^x + 2)^{-\frac{4}{5}}e^x$ ; $u'(x) = 8\cos(4x^{-3} + 5x^2)\sin(4x^{-3} + 5x^2)(-12x^{-4} + 10x) \quad \text{y} \quad v'(x) = (5e^x + 2)^{-\frac{4}{5}}e^x$ : Error de signo al derivar el coseno (derivada de cos es -sin) ; $u'(x) = -8\cos(4x^{-3} + 5x^2)\sin(4x^{-3} + 5x^2)(12x^{-2} + 10x) \quad \text{y} \quad v'(x) = (5e^x + 2)^{-\frac{4}{5}}e^x$ : Error al restar 1 en el exponente negativo (-3 - 1 = -4) ,,, *$h'(x) = u'(x)\sqrt[5]{5e^x + 2} + 4\cos^2(4x^{-3} + 5x^2)v'(x)$ ; $h'(x) = u'(x)\sqrt[5]{5e^x + 2} - 4\cos^2(4x^{-3} + 5x^2)v'(x)$ : Error de fórmula: resta en lugar de suma en la regla del producto ; $h'(x) = u'(x) \cdot v'(x)$ : Derivación directa de factores sin aplicar regla del producto ,,, *$h'(x) = -8\cos(4x^{-3} + 5x^2)\sin(4x^{-3} + 5x^2)\left(-\frac{12}{x^4} + 10x\right)\sqrt[5]{5e^x + 2} + \frac{4e^x \cos^2(4x^{-3} + 5x^2)}{\sqrt[5]{(5e^x + 2)^4}}$ ; $h'(x) = -8\cos(4x^{-3} + 5x^2)\sin(4x^{-3} + 5x^2)\left(\frac{12}{x^4} + 10x\right)\sqrt[5]{5e^x + 2} + \frac{4e^x \cos^2(4x^{-3} + 5x^2)}{\sqrt[5]{(5e^x + 2)^4}}$ : Cambio incorrecto de signo al pasar x^{-4} al denominador ; $h'(x) = -8\cos(4x^{-3} + 5x^2)\sin(4x^{-3} + 5x^2)\left(-\frac{12}{x^4} + 10x\right)\sqrt[5]{5e^x + 2} + \frac{4e^x \cos^2(4x^{-3} + 5x^2)}{\sqrt[5]{5e^x + 2}}$ : Olvido de elevar a la cuarta el radicando tras pasar exponente -4/5 a radical</t>
  </si>
  <si>
    <t>$$-8\cos(4x^{-3} + 5x^2)\sin(4x^{-3} + 5x^2)\left(-\frac{12}{x^4} + 10x\right)\sqrt[5]{5e^x + 2} + \frac{4e^x \cos^2(4x^{-3} + 5x^2)}{\sqrt[5]{(5e^x + 2)^4}}$$</t>
  </si>
  <si>
    <t>002/U1/ET24DE17/4/2/Mañana/GADO/LLENOLIO, Claudio</t>
  </si>
  <si>
    <t>Clasificar la fracción $$\frac{11}{4}$$ determinando si es propia, impropia o aparente y expresar su representación entera/mixta ::: Determinamos el tipo de fracción comparando numerador y denominador ::: Convertimos a número mixto o valor entero ::: Propiamente clasificada: Impropia ($2 \frac{3}{4}$)</t>
  </si>
  <si>
    <t>*$f(x) \rightarrow$ Fracción Impropia (el numerador es mayor que el denominador) ; $f(x) \rightarrow$ Fracción Propia : Una fracción propia tiene el numerador menor que el denominador ($\frac{a}{b}$ con $a &lt; b$) ; $f(x) \rightarrow$ Fracción Aparente : Una fracción aparente representa un número entero exacto (el numerador es múltiplo del denominador) ,,, *$f(x) = 2 + \frac{3}{4} = 2 \frac{3}{4}$ ; $f(x) = 4 \frac{2}{3}$ : Para obtener el número mixto se divide $11 \div 4 = 2$ con resto $3$, no al revés ; $f(x) = 2.75$ : Se solicita expresar la fracción como número mixto, no como decimal llano</t>
  </si>
  <si>
    <t>BUSTOS DEL VALLE, Joaquín</t>
  </si>
  <si>
    <t>Determinar la relación de orden entre las fracciones $$\frac{3}{5}$$ y $$\frac{4}{7}$$, y encontrar una fracción equivalente a $$\frac{3}{5}$$ con denominador 35 ::: Hallamos un denominador común para comparar ambas fracciones ::: Determinamos cuál fracción es mayor ::: Fracción equivalente y orden correcto</t>
  </si>
  <si>
    <t>*$\frac{3}{5} = \frac{21}{35}$  y  $\frac{4}{7} = \frac{20}{35}$ ; $\frac{3}{5} = \frac{15}{35}$  y  $\frac{4}{7} = \frac{20}{35}$ : Al amplificar $\frac{3}{5}$ por $7$, se debe multiplicar tanto numerador como denominador ($3 \cdot 7 = 21$) ; $\frac{3}{5} = \frac{21}{35}$  y  $\frac{4}{7} = \frac{28}{35}$ : Al amplificar $\frac{4}{7}$ por $5$, el numerador es $4 \cdot 5 = 20$ ,,, *$\frac{3}{5} &gt; \frac{4}{7}$ ; $\frac{3}{5} &lt; \frac{4}{7}$ : Dado que $\frac{21}{35} &gt; \frac{20}{35}$, la primera fracción es mayor ; $\frac{3}{5} = \frac{4}{7}$ : Las fracciones no son equivalentes, sus numeradores en común denominador son distintos ($21 \neq 20$)</t>
  </si>
  <si>
    <t>Pasar el número decimal periódico mixto $$1,2\hat{3}$$ a fracción irreducible ::: Aplicamos la regla para transformar un decimal periódico mixto a fracción ::: Simplificamos la fracción obtenida ::: Fracción irreducible</t>
  </si>
  <si>
    <t>*$1,2\hat{3} = \frac{123 - 12}{90} = \frac{111}{90}$ ; $1,2\hat{3} = \frac{123 - 1}{90}$ : En la resta del numerador se debe restar toda la parte no periódica ($12$), no solo la parte entera ($1$) ; $1,2\hat{3} = \frac{123}{99}$ : En un periódico mixto se colocan tantos 9 como cifras periódicas y tantos 0 como cifras decimales no periódicas ,,, *$1,2\hat{3} = \frac{37}{30}$ ; $1,2\hat{3} = \frac{111}{90}$ : Falta simplificar la fracción dividiendo numerador y denominador por $3$ ; $1,2\hat{3} = \frac{111}{99}$ : Denominador incorrecto al simplificar</t>
  </si>
  <si>
    <t>006/U1/ET24DE17/1/1/Mañana/CMTP/LLENOLIO, Claudio</t>
  </si>
  <si>
    <t>La suma entre un numero par y otro impar</t>
  </si>
  <si>
    <t>*$2x+(2x+1)$,,,$(2x+1)+1$ : Se sumó 1 a un número impar en lugar de sumarle un número par,,,x+1 : Representa el siguiente de un número genérico,,,2x+1 : Representa solo un número impar aislado</t>
  </si>
  <si>
    <t>2x+(2x+1)</t>
  </si>
  <si>
    <t>El cuadrado de la diferencia entre un número par y otro impar</t>
  </si>
  <si>
    <t>[(2x)-(2x+1)]²,,,(2x)²-(2x+1)²,,,x²-1²,,,(4-5)²</t>
  </si>
  <si>
    <t>[(2x)-(2x+1)]²</t>
  </si>
  <si>
    <t>Respondido</t>
  </si>
  <si>
    <t>La diferencia entre la edad de Julieta y de Pamela</t>
  </si>
  <si>
    <t>P+J,,,2P-J,,,J+P,,,J-P</t>
  </si>
  <si>
    <t>Escribe en lenguaje coloquial: x+5</t>
  </si>
  <si>
    <t>x más cinco,,,El quíntuplo de un número,,,Un número aumentado en cinco</t>
  </si>
  <si>
    <t>Un número aumentado en cinco</t>
  </si>
  <si>
    <t>Completado</t>
  </si>
  <si>
    <t>Escribe en lenguaje coloquial: x - 3</t>
  </si>
  <si>
    <t>Un número disminuido en 3,,,x menos tres,,,El triple de un número,,,La tercera parte de un número</t>
  </si>
  <si>
    <t>Escribe en lenguaje coloquial: 4a</t>
  </si>
  <si>
    <t>*El cuádruple de a,,,a a la cuarta : Confusión entre multiplicación por 4 y potencia cuarta,,,El doble de a : El doble corresponde a multiplicar por 2,,,a aumentado en 4 : Aumentado indica suma y no multiplicación</t>
  </si>
  <si>
    <t>El cuádruple de a</t>
  </si>
  <si>
    <t>Escribe en lenguaje coloquial: 2(x+5)</t>
  </si>
  <si>
    <t>El doble de x más cinco,,,El doble de, un número mas cinco,,,El doble de x, mas cinco,,,El doble de un número, más cinco</t>
  </si>
  <si>
    <t>El doble de, un número mas cinco</t>
  </si>
  <si>
    <t>Escribe en lenguaje coloquial: 10(b-3)</t>
  </si>
  <si>
    <t>El décuplo de la diferencia entre un número y tres,,,Un número por diez restado en tres,,,Un número que se multiplica por diez que se le resta tres</t>
  </si>
  <si>
    <t>Escribe en lenguaje coloquial: ½(a-b)</t>
  </si>
  <si>
    <t>La mitad del anterior de un número,,,Dos números restados, a la mitad,,,La mitad de la diferencia entre dos números,,,La mitad de un número menos otro número</t>
  </si>
  <si>
    <t>La mitad de la diferencia entre dos números</t>
  </si>
  <si>
    <t>Escribe en lenguaje coloquial: ⅗(b+c)</t>
  </si>
  <si>
    <t>Las tres quintas partes de la suma de dos números,,,Un número mas, otro por tres quintos,,,Las tres quintas partes de un numero, sumado a otro</t>
  </si>
  <si>
    <t>Escribe en lenguaje coloquial: 3(x-1)+2x</t>
  </si>
  <si>
    <t>El doble de un número mas el triple de otro,,,El triple del siguiente de un número aumentado en dos,,,El triple del anterior de un número más el doble del número</t>
  </si>
  <si>
    <t>El triple del anterior de un número más el doble del número</t>
  </si>
  <si>
    <t>Escribe en lenguaje coloquial: (a+b)²</t>
  </si>
  <si>
    <t>*El cuadrado de la suma de dos números,,,La suma de los cuadrados de dos números : Representa la suma individual a² + b²,,,Dos números al cuadrado sumados : Confusión en la jerarquía entre suma y potencia</t>
  </si>
  <si>
    <t>Escribe en lenguaje coloquial: a²-b²</t>
  </si>
  <si>
    <t>d</t>
  </si>
  <si>
    <t>La deferencia de los cuadrados de dos números</t>
  </si>
  <si>
    <t>010/U1/ET24DE17/1/1/Mañana/CMTP/LLENOLIO, Claudio</t>
  </si>
  <si>
    <t>Complete the safety protocol: "To prevent overheating, workers ________ block the ventilation fans and must ________ the cooling system daily." : Step 1: Choose the correct modal verb for prohibition ,,, Step 2: Select the correct action verb for regular maintenance ,,, Step 3: Verify the full safety instruction ,,, Workers must not block the ventilation fans and must inspect the cooling system daily.</t>
  </si>
  <si>
    <t>*must not ; don't have to : "Don't have to" means optional, but preventing overheating is a strict prohibition ; should : "Should" is just advice, safety rules require strict prohibition with "must not" ,,, *inspect ; inspecting : Modal verbs like "must" are always followed by the base form of the verb ; inspected : Do not use past tense after modal verbs like "must" ,,, *Workers must not block the ventilation fans and must inspect the cooling system daily. ; Workers don't have to block the ventilation fans and must inspecting the cooling system daily. : Incorrect modal choice (prohibition needed) and incorrect verb form after "must" ; Workers must not block the ventilation fans and must inspected the cooling system daily. : Use the base verb after "must", not the past tense</t>
  </si>
  <si>
    <t>Workers must not block the ventilation fans and must inspect the cooling system daily.</t>
  </si>
  <si>
    <t>PINTO FRANKE, Tomás Ezequiel</t>
  </si>
  <si>
    <t>Complete the procedure: "Before ________ the motherboard, technicians avoid ________ static electricity by wearing an antistatic wrist strap." : Step 1: Select the correct verb structure after the preposition "Before" ,,, Step 2: Choose the correct verb form after "avoid" ,,, Step 3: Confirm the complete technical sentence ,,, Before handling the motherboard, technicians avoid generating static electricity by wearing an antistatic wrist strap.</t>
  </si>
  <si>
    <t>*handling ; handle : Prepositions like "before" must be followed by a verb in the -ing form (gerund) ; handled : Past tense cannot be used directly after a preposition ,,, *generating ; to generate : The verb "avoid" is followed by a gerund (-ing), not an infinitive with "to" ; generate : "Avoid" requires a gerund (-ing) when connecting to another action ,,, *Before handling the motherboard, technicians avoid generating static electricity by wearing an antistatic wrist strap. ; Before handle the motherboard, technicians avoid to generate static electricity by wearing an antistatic wrist strap. : Prepositions require gerunds (-ing) and "avoid" is followed by -ing, not "to" ; Before handling the motherboard, technicians avoid generate static electricity by wearing an antistatic wrist strap. : "Avoid" must be followed by a gerund (generating)</t>
  </si>
  <si>
    <t>Before handling the motherboard, technicians avoid generating static electricity by wearing an antistatic wrist strap.</t>
  </si>
  <si>
    <t>Complete the troubleshooting guide: "________ checking the power supply, test the fuses; ________, restart the system to verify performance." : Step 1: Identify the correct sequence connector for the first step ,,, Step 2: Select the appropriate connector to indicate the final step ,,, Step 3: Review the complete troubleshooting sequence ,,, First checking the power supply, test the fuses; finally, restart the system to verify performance.</t>
  </si>
  <si>
    <t>*While ; After that : "After that" connects two complete sentences, but here it introduces a continuous action ; Because : "Because" indicates cause/reason, not a time relationship during a procedure ,,, *finally ; first : "First" introduces the beginning of a sequence, not the closing step ; cause : "Cause" is a noun/verb, not a sequential transition connector ,,, *While checking the power supply, test the fuses; finally, restart the system to verify performance. ; After that checking the power supply, test the fuses; first, restart the system to verify performance. : Connectors are inverted and incorrect for introductory temporal clauses ; Because checking the power supply, test the fuses; cause, restart the system to verify performance. : Incorrect connectors for procedural step sequencing</t>
  </si>
  <si>
    <t>While checking the power supply, test the fuses; finally, restart the system to verify performance.</t>
  </si>
  <si>
    <t>Pregunta 1: Completada | Fallos en este ejercicio: 4 (Pregunta 1 (Paso 1): Confusión entre potencia e índice radical ; Pregunta 1 (Paso 1): Exponente entero erróneo ; Pregunta 1 (Paso 2): Resta incorrecta en exponente fraccionario ; Pregunta 1 (Paso 2): Derivada incorrecta del logaritmo)</t>
  </si>
  <si>
    <t>Pregunta 2: Completada | Fallos en este ejercicio: 3 (Pregunta 2 (Paso 2): Derivación directa de numerador sobre denominador sin regla de cociente ; Pregunta 2 (Paso 2): Error de signo: suma en lugar de resta en el numerador del cociente ; Pregunta 2 (Paso 3): Cambio incorrecto del signo negativo al pasar el exponente al denominador)</t>
  </si>
  <si>
    <t>Pregunta 3: Completada | Fallos en este ejercicio: 4 (Pregunta 3 (Paso 1): Error de signo al derivar el coseno (derivada de cos es -sin) ; Pregunta 3 (Paso 1): Error al restar 1 en el exponente negativo (-2 - 1 = -3) ; Pregunta 3 (Paso 3): Cambio incorrecto de signo al pasar x^{-3} al denominador ; Pregunta 3 (Paso 3): Olvido de elevar al cuadrado el radicando tras pasar exponente -2/3 a radical)</t>
  </si>
  <si>
    <t>Pregunta 2: Completada | Fallos en este ejercicio: 2 (Pregunta 2 (Paso 1): Error al derivar el exponente negativo en v(x) (-4 - 1 = -5) ; Pregunta 2 (Paso 1): Suma de coeficiente y exponente en lugar de multiplicación)</t>
  </si>
  <si>
    <t>Pregunta 2: Completada | Fallos en este ejercicio: 3 (Pregunta 2 (Paso 2): Error de signo: suma en lugar de resta en el numerador del cociente ; Pregunta 2 (Paso 3): Error de grado al reexpresar x^{-6} como denominador ; Pregunta 2 (Paso 3): Cambio incorrecto del signo negativo al pasar el exponente al denominador)</t>
  </si>
  <si>
    <t>Pregunta 1: Completada | Fallos en este ejercicio: 4 (Pregunta 1 (Paso 1): Confusión entre potencia e índice radical ; Pregunta 1 (Paso 2): Resta incorrecta en exponente fraccionario ; Pregunta 1 (Paso 3): Exponente positivo trasladado al denominador ; Pregunta 1 (Paso 3): Error de signo al multiplicar coeficientes)</t>
  </si>
  <si>
    <t>Pregunta 2: Completada | Fallos en este ejercicio: 6 (Pregunta 2 (Paso 1): Suma de coeficiente y exponente en lugar de multiplicación ; Pregunta 2 (Paso 1): Error al derivar el exponente negativo en v(x) (-2 - 1 = -3) ; Pregunta 2 (Paso 2): Error de signo: suma en lugar de resta en el numerador del cociente ; Pregunta 2 (Paso 2): Derivación directa de numerador sobre denominador sin regla de cociente ; Pregunta 2 (Paso 3): Error de grado al reexpresar x^{-3} como denominador ; Pregunta 2 (Paso 3): Cambio incorrecto del signo negativo al pasar el exponente al denominador)</t>
  </si>
  <si>
    <t>Pregunta 3: Completada | Fallos en este ejercicio: 2 (Pregunta 3 (Paso 1): Error de signo al derivar el coseno (derivada de cos es -sin) ; Pregunta 3 (Paso 3): Cambio incorrecto de signo al pasar x^{-5} al denominador)</t>
  </si>
  <si>
    <t>Pregunta 3: Completada | Fallos en este ejercicio: 3 (Pregunta 3 (Paso 1): Error de signo al derivar el coseno (derivada de cos es -sin) ; Pregunta 3 (Paso 2): Derivación directa de factores sin aplicar regla del producto ; Pregunta 3 (Paso 2): Error de fórmula: resta en lugar de suma en la regla del producto)</t>
  </si>
  <si>
    <t>RUEDA, Delfina</t>
  </si>
  <si>
    <t>Pregunta 1: Completada | Fallos en este ejercicio: 3 (Pregunta 1 (Paso 1): Conversión incorrecta de radical a exponente ; Pregunta 1 (Paso 1): Inversión de exponente en la raíz ; Pregunta 1 (Paso 2): Resta equivocada al exponente (5/4 - 1 = 1/4))</t>
  </si>
  <si>
    <t>CHALLGUA QUISPE, Jeremy Joel</t>
  </si>
  <si>
    <t>Pregunta 1: Completada | Fallos en este ejercicio: 3 (Pregunta 1 (Paso 2): Derivada incorrecta del logaritmo ; Pregunta 1 (Paso 3): Exponente positivo trasladado al denominador ; Pregunta 1 (Paso 3): Error de signo al multiplicar coeficientes)</t>
  </si>
  <si>
    <t>Pregunta 2: Completada | Fallos en este ejercicio: 4 (Pregunta 2 (Paso 1): Suma de coeficiente y exponente en lugar de multiplicación ; Pregunta 2 (Paso 1): Error al derivar el exponente negativo en v(x) (-2 - 1 = -3) ; Pregunta 2 (Paso 2): Error de signo: suma en lugar de resta en el numerador del cociente ; Pregunta 2 (Paso 2): Derivación directa de numerador sobre denominador sin regla de cociente)</t>
  </si>
  <si>
    <t>Pregunta 3: Completada | Fallos en este ejercicio: 3 (Pregunta 3 (Paso 1): Error al restar 1 en el exponente negativo (-4 - 1 = -5) ; Pregunta 3 (Paso 1): Error de signo al derivar el coseno (derivada de cos es -sin) ; Pregunta 3 (Paso 2): Error de fórmula: resta en lugar de suma en la regla del producto)</t>
  </si>
  <si>
    <t>GUERRERO, Marina</t>
  </si>
  <si>
    <t>VILLAR OSORIO, Juan Manuel</t>
  </si>
  <si>
    <t>Pregunta 1: Completada | Fallos en este ejercicio: 4 (Pregunta 1 (Paso 1): Inversión de fracción en el exponente radical ; Pregunta 1 (Paso 2): Falta derivar el término logarítmico ; Pregunta 1 (Paso 3): Multiplicación incorrecta de signos (-1/2 * -6) ; Pregunta 1 (Paso 3): Se bajó un exponente positivo (2/3) al denominador)</t>
  </si>
  <si>
    <t>Pregunta 2: Completada | Fallos en este ejercicio: 4 (Pregunta 2 (Paso 2): Error de signo: suma en lugar de resta en el numerador del cociente ; Pregunta 2 (Paso 2): Derivación directa de numerador sobre denominador sin regla de cociente ; Pregunta 2 (Paso 3): Cambio incorrecto del signo negativo al pasar el exponente al denominador ; Pregunta 2 (Paso 3): Error de grado al reexpresar x^{-3} como denominador)</t>
  </si>
  <si>
    <t>Pregunta 2: Completada | Fallos en este ejercicio: 2 (Pregunta 2 (Paso 1): Suma de coeficiente y exponente en lugar de multiplicación ; Pregunta 2 (Paso 1): Error al derivar el exponente negativo en v(x) (-3 - 1 = -4))</t>
  </si>
  <si>
    <t>CABRERA OBANDO, Nahuel Miqueas</t>
  </si>
  <si>
    <t>Pregunta 1: Completada | Fallos en este ejercicio: 4 (Pregunta 1 (Paso 2): Error de signo: suma en lugar de resta en el numerador del cociente ; Pregunta 1 (Paso 2): Derivación directa de numerador sobre denominador sin regla de cociente ; Pregunta 1 (Paso 3): Cambio incorrecto del signo negativo al pasar el exponente al denominador ; Pregunta 1 (Paso 3): Error de grado al reexpresar x^{-4} como denominador)</t>
  </si>
  <si>
    <t>Pregunta 1: Completada | Fallos en este ejercicio: 4 (Pregunta 1 (Paso 1): Error de signo al derivar el coseno (derivada de cos es -sin) ; Pregunta 1 (Paso 1): Error al restar 1 en el exponente negativo (-4 - 1 = -5) ; Pregunta 1 (Paso 3): Cambio incorrecto de signo al pasar x^{-5} al denominador ; Pregunta 1 (Paso 3): Olvido de elevar al cuadrado el radicando tras pasar exponente -2/3 a radical)</t>
  </si>
  <si>
    <t>Pregunta 2: Completada | Fallos en este ejercicio: 1 (Pregunta 2 (Paso 3): Error de grado al reexpresar x^{-3} como denominador)</t>
  </si>
  <si>
    <t>Pregunta 3: Completada | Fallos en este ejercicio: 4 (Pregunta 3 (Paso 1): Error al restar 1 en el exponente negativo (-4 - 1 = -5) ; Pregunta 3 (Paso 1): Error de signo al derivar el coseno (derivada de cos es -sin) ; Pregunta 3 (Paso 3): Olvido de elevar al cuadrado el radicando tras pasar exponente -2/3 a radical ; Pregunta 3 (Paso 3): Cambio incorrecto de signo al pasar x^{-5} al denominador)</t>
  </si>
  <si>
    <t>Pregunta 2: Completada | Fallos en este ejercicio: 4 (Pregunta 2 (Paso 1): Error al derivar el exponente negativo en v(x) (-4 - 1 = -5) ; Pregunta 2 (Paso 1): Suma de coeficiente y exponente en lugar de multiplicación ; Pregunta 2 (Paso 2): Error de signo: suma en lugar de resta en el numerador del cociente ; Pregunta 2 (Paso 3): Cambio incorrecto del signo negativo al pasar el exponente al denominador)</t>
  </si>
  <si>
    <t>VOLANTE,Guiliano</t>
  </si>
  <si>
    <t>Pregunta 3: Completada | Fallos en este ejercicio: 4 (Pregunta 3 (Paso 1): Error al restar 1 en el exponente negativo (-3 - 1 = -4) ; Pregunta 3 (Paso 2): Error de fórmula: resta en lugar de suma en la regla del producto ; Pregunta 3 (Paso 2): Derivación directa de factores sin aplicar regla del producto ; Pregunta 3 (Paso 3): Olvido de elevar al cuadrado el radicando tras pasar exponente -2/3 a radical)</t>
  </si>
  <si>
    <t>Pregunta 1: Completada | Fallos en este ejercicio: 6 (Pregunta 1 (Paso 1): Error al restar 1 en el exponente negativo (-3 - 1 = -4) ; Pregunta 1 (Paso 1): Error de signo al derivar el coseno (derivada de cos es -sin) ; Pregunta 1 (Paso 2): Derivación directa de factores sin aplicar regla del producto ; Pregunta 1 (Paso 2): Error de fórmula: resta en lugar de suma en la regla del producto ; Pregunta 1 (Paso 3): Olvido de elevar a la cuarta el radicando tras pasar exponente -4/5 a radical ; Pregunta 1 (Paso 3): Cambio incorrecto de signo al pasar x^{-4} al denominador)</t>
  </si>
  <si>
    <t>Pregunta 2: Completada | Fallos en este ejercicio: 4 (Pregunta 2 (Paso 1): Suma de coeficiente y exponente en lugar de multiplicación ; Pregunta 2 (Paso 2): Error de signo: suma en lugar de resta en el numerador del cociente ; Pregunta 2 (Paso 3): Error de grado al reexpresar x^{-3} como denominador ; Pregunta 2 (Paso 3): Cambio incorrecto del signo negativo al pasar el exponente al denominador)</t>
  </si>
  <si>
    <t>Pregunta 3: Completada | Fallos en este ejercicio: 3 (Pregunta 3 (Paso 1): Error al restar 1 en el exponente negativo (-3 - 1 = -4) ; Pregunta 3 (Paso 1): Error de signo al derivar el coseno (derivada de cos es -sin) ; Pregunta 3 (Paso 2): Error de fórmula: resta en lugar de suma en la regla del producto)</t>
  </si>
  <si>
    <t>Pregunta 3: Completada | Fallos en este ejercicio: 4 (Pregunta 3 (Paso 1): Error al restar 1 en el exponente negativo (-3 - 1 = -4) ; Pregunta 3 (Paso 1): Error de signo al derivar el coseno (derivada de cos es -sin) ; Pregunta 3 (Paso 2): Derivación directa de factores sin aplicar regla del producto ; Pregunta 3 (Paso 3): Olvido de elevar a la cuarta el radicando tras pasar exponente -4/5 a radical)</t>
  </si>
  <si>
    <t>Pregunta 1: Completada | Fallos en este ejercicio: 2 (Pregunta 1 (Paso 2): Error de fórmula: resta en lugar de suma en la regla del producto ; Pregunta 1 (Paso 3): Cambio incorrecto de signo al pasar x^{-3} al denominador)</t>
  </si>
  <si>
    <t>Pregunta 2: Completada | Fallos en este ejercicio: 3 (Pregunta 2 (Paso 1): Suma de coeficiente y exponente en lugar de multiplicación ; Pregunta 2 (Paso 1): Error al derivar el exponente negativo en v(x) (-3 - 1 = -4) ; Pregunta 2 (Paso 2): Derivación directa de numerador sobre denominador sin regla de cociente)</t>
  </si>
  <si>
    <t>Pregunta 3: Completada | Fallos en este ejercicio: 1 (Pregunta 3 (Paso 2): Error de fórmula: resta en lugar de suma en la regla del producto)</t>
  </si>
  <si>
    <t>GÓMEZ, Cristian Martín</t>
  </si>
  <si>
    <t>CORDOBÉZ, Martín</t>
  </si>
  <si>
    <t>Pregunta 1: Completada | Fallos en este ejercicio: 2 (Pregunta 1 (Paso 3): Error de grado al reexpresar x^{-5} como denominador ; Pregunta 1 (Paso 3): Cambio incorrecto del signo negativo al pasar el exponente al denominador)</t>
  </si>
  <si>
    <t>Pregunta 2: Completada | Fallos en este ejercicio: 2 (Pregunta 2 (Paso 3): Error de grado al reexpresar x^{-5} como denominador ; Pregunta 2 (Paso 3): Cambio incorrecto del signo negativo al pasar el exponente al denominador)</t>
  </si>
  <si>
    <t>Pregunta 3: Completada | Fallos en este ejercicio: 6 (Pregunta 3 (Paso 1): Error al restar 1 en el exponente negativo (-3 - 1 = -4) ; Pregunta 3 (Paso 1): Error de signo al derivar el coseno (derivada de cos es -sin) ; Pregunta 3 (Paso 2): Error de fórmula: resta en lugar de suma en la regla del producto ; Pregunta 3 (Paso 2): Derivación directa de factores sin aplicar regla del producto ; Pregunta 3 (Paso 3): Cambio incorrecto de signo al pasar x^{-4} al denominador ; Pregunta 3 (Paso 3): Olvido de elevar a la cuarta el radicando tras pasar exponente -4/5 a radical)</t>
  </si>
  <si>
    <t>Pregunta 2: Completada | Fallos en este ejercicio: 1 (Pregunta 2 (Paso 2): Derivación directa de numerador sobre denominador sin regla de cociente)</t>
  </si>
  <si>
    <t>Pregunta 2: Completada | Fallos en este ejercicio: 1 (Pregunta 2 (Paso 1): Error al derivar el exponente negativo en v(x) (-4 - 1 = -5))</t>
  </si>
  <si>
    <t>Pregunta 2: Completada | Fallos en este ejercicio: 2 (Pregunta 2 (Paso 2): Derivación directa de numerador sobre denominador sin regla de cociente ; Pregunta 2 (Paso 3): Error de grado al reexpresar x^{-6} como denominador)</t>
  </si>
  <si>
    <t>Pregunta 1: Completada | Fallos en este ejercicio: 4 (Pregunta 1 (Paso 1): Exponente entero erróneo ; Pregunta 1 (Paso 2): Resta incorrecta en exponente fraccionario ; Pregunta 1 (Paso 2): Derivada incorrecta del logaritmo ; Pregunta 1 (Paso 3): Exponente positivo trasladado al denominador)</t>
  </si>
  <si>
    <t>Pregunta 1: Completada | Fallos en este ejercicio: 2 (Pregunta 1 (Paso 1): Error al restar 1 en el exponente negativo (-3 - 1 = -4) ; Pregunta 1 (Paso 2): Error de fórmula: resta en lugar de suma en la regla del producto)</t>
  </si>
  <si>
    <t>Pregunta 1: Completada | Fallos en este ejercicio: 2 (Pregunta 1 (Paso 2): Derivación directa de numerador sobre denominador sin regla de cociente ; Pregunta 1 (Paso 3): Cambio incorrecto del signo negativo al pasar el exponente al denominador)</t>
  </si>
  <si>
    <t>Pregunta 2: Completada | Fallos en este ejercicio: 0 (Sin errores)</t>
  </si>
  <si>
    <t>Pregunta 3: Completada | Fallos en este ejercicio: 4 (Pregunta 3 (Paso 1): Error de signo al derivar el coseno (derivada de cos es -sin) ; Pregunta 3 (Paso 2): Error de fórmula: resta en lugar de suma en la regla del producto ; Pregunta 3 (Paso 3): Olvido de elevar al cuadrado el radicando tras pasar exponente -2/3 a radical ; Pregunta 3 (Paso 3): Cambio incorrecto de signo al pasar x^{-4} al denominador)</t>
  </si>
  <si>
    <t>Pregunta 1: Completada | Fallos en este ejercicio: 6 (Pregunta 1 (Paso 1): Prepositions like "before" must be followed by a verb in the -ing form (gerund) ; Pregunta 1 (Paso 1): Past tense cannot be used directly after a preposition ; Pregunta 1 (Paso 2): The verb "avoid" is followed by a gerund (-ing), not an infinitive with "to" ; Pregunta 1 (Paso 2): "Avoid" requires a gerund (-ing) when connecting to another action ; Pregunta 1 (Paso 3): Prepositions require gerunds (-ing) and "avoid" is followed by -ing, not "to" ; Pregunta 1 (Paso 3): "Avoid" must be followed by a gerund (generating))</t>
  </si>
  <si>
    <t>Pregunta 1: Completada | Fallos en este ejercicio: 4 (Pregunta 1 (Paso 1): Prepositions like "before" must be followed by a verb in the -ing form (gerund) ; Pregunta 1 (Paso 1): Past tense cannot be used directly after a preposition ; Pregunta 1 (Paso 3): Prepositions require gerunds (-ing) and "avoid" is followed by -ing, not "to" ; Pregunta 1 (Paso 3): "Avoid" must be followed by a gerund (generating))</t>
  </si>
  <si>
    <t>Pregunta 1: Completada | Fallos en este ejercicio: 2 (Pregunta 1 (Paso 3): Exponente positivo trasladado al denominador ; Pregunta 1 (Paso 3): Error de signo al multiplicar coeficientes)</t>
  </si>
  <si>
    <t>Pregunta 2: Completada | Fallos en este ejercicio: 2 (Pregunta 2 (Paso 1): Error al derivar el exponente negativo en v(x) (-3 - 1 = -4) ; Pregunta 2 (Paso 2): Error de signo: suma en lugar de resta en el numerador del cociente)</t>
  </si>
  <si>
    <t>APROBADO</t>
  </si>
  <si>
    <t xml:space="preserve">Fugas: 2 vez/veces | Detalle: </t>
  </si>
  <si>
    <t>Diagnóstico: Sin errores registrados</t>
  </si>
  <si>
    <t>{"pre_balanza_0":"$$12x^3 + x^{-3} - \\frac{5}{x} + \\frac{2}{3\\sqrt[3]{x}}$$","pre_balanza_2":"$$4\\left[-2\\cos(2x^{-4} + 6x^2)\\sin(2x^{-4} + 6x^2)(-8x^{-5} + 12x)\\right]\\sqrt[5]{3e^x + 7} + 4\\cos^2(2x^{-4} + 6x^2)\\cdot \\frac{3e^x}{5\\sqrt[5]{(3e^x + 7)^4}}$$","pre_balanza_1":"$$\\frac{(8x + 12x^3)(2x^{-3} + 2e^x) - (4x^2 + 3x^4)(-6x^{-4} + 2e^x)}{(2x^{-3} + 2e^x)^2}$$"}</t>
  </si>
  <si>
    <t xml:space="preserve">Fugas: 1 vez/veces | Detalle: </t>
  </si>
  <si>
    <t>Diagnóstico: Ajuste en paso: 𝑓
′
(
𝑥
)
=
12
𝑥
3
−
1
𝑥
3
−
5
𝑥
+
2
3
𝑥
2
3 | Ajuste en paso: ℎ
′
(
𝑥
)
=
(
𝑢
)
′
⋅
𝑣
−
𝑢
⋅
(
𝑣
)
′
𝑣
2 | Ajuste en paso: ℎ
′
(
𝑥
)
=
(
𝑢
)
′
⋅
(
𝑣
)
′</t>
  </si>
  <si>
    <t>{"pre_balanza_2":"$$4\\left[-2\\cos(2x^{-4} + 6x^2)\\sin(2x^{-4} + 6x^2)(-8x^{-5} + 12x)\\right]\\sqrt[5]{3e^x + 7} + 4\\cos^2(2x^{-4} + 6x^2)\\cdot \\frac{3e^x}{5\\sqrt[5]{(3e^x + 7)^4}}$$","pre_balanza_1":"$$\\frac{(8x + 12x^3)(2x^{-3} + 2e^x) - (4x^2 + 3x^4)(-6x^{-4} + 2e^x)}{(2x^{-3} + 2e^x)^2}$$","pre_balanza_0":"$$12x^3 + x^{-3} - \\frac{5}{x} + \\frac{2}{3\\sqrt[3]{x}}$$"}</t>
  </si>
  <si>
    <t>Sin salidas de pantalla</t>
  </si>
  <si>
    <t>{"pre_balanza_0":"$$12x + \\frac{1}{x^6} - \\frac{7}{x} + \\frac{5\\sqrt[4]{x}}{4}$$"}</t>
  </si>
  <si>
    <t>Diagnóstico: Inversión de exponente en la raíz (índice va al denominador) | Error en regla de derivación para logaritmo natural</t>
  </si>
  <si>
    <t>{"pre_balanza_0":"$$12x^3 + \\frac{1}{x^3} - \\frac{5}{x} + \\frac{2}{3\\sqrt[3]{x}}$$"}</t>
  </si>
  <si>
    <t>Diagnóstico: Error en regla de derivación para logaritmo natural | Derivación incorrecta del primer término 3x^4</t>
  </si>
  <si>
    <t>RECUPERATORIO</t>
  </si>
  <si>
    <t>Diagnóstico: Inversión de exponente en la raíz (índice va al denominador) | Multiplicación en lugar de división en índice radical | Error en regla de derivación para logaritmo natural</t>
  </si>
  <si>
    <t>Diagnóstico: Inversión de exponente en la raíz (índice va al denominador) | Derivación incorrecta del primer término 3x^4</t>
  </si>
  <si>
    <t>Diagnóstico: Conversión incorrecta de radical a exponente | Inversión de exponente en la raíz | Resta equivocada al exponente (5/4 - 1 = 1/4) | Derivación errónea de ln(x)</t>
  </si>
  <si>
    <t>Diagnóstico: Error de conversión de raíz | Se puso el índice radical en el numerador | Se le sumó 1 al exponente negativo (-3+1) | Error de signo al simplificar -1/3  -3 | Inversión final de raíz (índice va afuera)</t>
  </si>
  <si>
    <t>{"pre_balanza_0":"$$12x^5 + \\frac{1}{x^4} - \\frac{4}{x} + \\frac{3}{4\\sqrt[4]{x}}$$"}</t>
  </si>
  <si>
    <t xml:space="preserve">Fugas: 3 vez/veces | Detalle: </t>
  </si>
  <si>
    <t>Diagnóstico: Una fracción aparente representa un número entero exacto (el numerador es múltiplo del denominador) | Falta simplificar la fracción dividiendo numerador y denominador por $3$ | Se solicita expresar la fracción como número mixto, no como decimal llano | Para obtener el número mixto se divide $11 div 4 = 2$ con resto $3$, no al revés</t>
  </si>
  <si>
    <t>{"pre_balanza_0":"$$\\text{Impropia } \\left(2\\frac{3}{4}\\right)$$","pre_balanza_2":"$$\\frac{37}{30}$$","pre_balanza_1":"$$\\frac{3}{5} &gt; \\frac{4}{7}$$"}</t>
  </si>
  <si>
    <t>Diagnóstico: Una fracción aparente representa un número entero exacto (el numerador es múltiplo del denominador) | Para obtener el número mixto se divide $11 div 4 = 2$ con resto $3$, no al revés | En la resta del numerador se debe restar toda la parte no periódica ($12$), no solo la parte entera ($1$)</t>
  </si>
  <si>
    <t>{"pre_om_0":"*$f(x) \\rightarrow$ Fracción Impropia (el numerador es mayor que el denominador) ; $f(x) \\rightarrow$ Fracción Propia : Una fracción propia tiene el numerador menor que el denominador ($\\frac{a}{b}$ con $a &lt; b$) ; $f(x) \\rightarrow$ Fracción Aparente : Una fracción aparente representa un número entero exacto (el numerador es múltiplo del denominador)","pre_om_1":"*$\\frac{3}{5} = \\frac{21}{35}$  y  $\\frac{4}{7} = \\frac{20}{35}$ ; $\\frac{3}{5} = \\frac{15}{35}$  y  $\\frac{4}{7} = \\frac{20}{35}$ : Al amplificar $\\frac{3}{5}$ por $7$, se debe multiplicar tanto numerador como denominador ($3 \\cdot 7 = 21$) ; $\\frac{3}{5} = \\frac{21}{35}$  y  $\\frac{4}{7} = \\frac{28}{35}$ : Al amplificar $\\frac{4}{7}$ por $5$, el numerador es $4 \\cdot 5 = 20$","pre_om_2":"*$f(x) \\rightarrow$ Fracción Impropia (el numerador es mayor que el denominador) ; $f(x) \\rightarrow$ Fracción Propia : Una fracción propia tiene el numerador menor que el denominador ($\\frac{a}{b}$ con $a &lt; b$) ; $f(x) \\rightarrow$ Fracción Aparente : Una fracción aparente representa un número entero exacto (el numerador es múltiplo del denominador)"}</t>
  </si>
  <si>
    <t>{"pre_om_7":"El décuplo de la diferencia entre un número y tres","pre_om_3":"x más cinco","pre_om_0":"(2x+1)+1","pre_om_5":"a a la cuarta","pre_om_10":"El doble de un número mas el triple de otro","pre_om_1":"(2x+1)+1","pre_om_6":"El doble de x más cinco","pre_om_11":"El cuadrado de la suma de dos números","pre_om_8":"Dos números restados, a la mitad","pre_om_4":"Un número disminuido en 3","pre_om_9":"Las tres quintas partes de la suma de dos números","pre_om_2":"J-P","pre_om_12":"El doble de dos números"}</t>
  </si>
  <si>
    <t>Diagnóstico: Confusión entre potencia e índice radical | Exponente positivo trasladado al denominador | Error de signo al multiplicar coeficientes</t>
  </si>
  <si>
    <t>{"pre_balanza_0":"$$16x + \\frac{2}{x^5} - \\frac{9}{x} + \\frac{4\\sqrt[3]{x}}{3}$$"}</t>
  </si>
  <si>
    <t>Diagnóstico: Inversión de exponente en la raíz | Derivación errónea de ln(x) | Resta equivocada al exponente (5/4 - 1 = 1/4)</t>
  </si>
  <si>
    <t>Diagnóstico: Omitió derivar el término logarítmico | Inversión del índice radical al reexpresar la raíz | Error de signo al multiplicar (-1/4  -8)</t>
  </si>
  <si>
    <t>{"pre_balanza_0":"$$27x^2 + \\frac{2}{x^9} - \\frac{8}{x} + \\frac{5}{6\\sqrt[6]{x}}$$"}</t>
  </si>
  <si>
    <t>{"0":""}</t>
  </si>
  <si>
    <t>{"pre_om_0":"No la podemos descartar, es una ley,,,No la podemos descartar, es una ley","pre_om_3":"experimentación,,,experimentación","pre_om_2":"Si, es cierto,,,Si, es cierto","pre_om_5":"formular hipótesis,,,formular hipótesis","pre_om_6":"Observar,,,Observar","pre_om_1":"Hay que descartarla pues el contraejemplo puede ser 0 + 5 = 5,,,Hay que descartarla pues el contraejemplo puede ser 0 + 5 = 5","pre_om_7":"la conclusión,,,la conclusión","pre_om_8":"Pasa a ser un contraejemplo,,,Pasa a ser un contraejemplo","pre_om_4":"Explicación,,,Explicación","pre_om_9":"Pasa a ser un contraejemplo,,,Pasa a ser un contraejemplo"}</t>
  </si>
  <si>
    <t>{"pre_om_7":"la conclusión,,,la conclusión","pre_om_6":"Observar,,,Observar","pre_om_3":"experimentación,,,experimentación","pre_om_0":"3,,,3","pre_om_8":"Pasa a ser un contraejemplo,,,Pasa a ser un contraejemplo","pre_om_5":"formular hipótesis,,,formular hipótesis","pre_om_1":"Hay que descartarla pues el contraejemplo puede ser 0 + 5 = 5,,,Hay que descartarla pues el contraejemplo puede ser 0 + 5 = 5","pre_om_9":"Pasa a ser un contraejemplo,,,Pasa a ser un contraejemplo","pre_om_2":"Si, es cierto,,,Si, es cierto","pre_om_4":"Explicación,,,Explicación"}</t>
  </si>
  <si>
    <t>{"0":"","1":"","2":"","3":"","4":"","5":"","6":"","7":""}</t>
  </si>
  <si>
    <t>{"0":"","1":"","2":"","3":""}</t>
  </si>
  <si>
    <t>DESAPROBADO</t>
  </si>
  <si>
    <t>Diagnóstico: Pregunta 1 (Paso 1): Inversión de potencia e índice en la raíz | Pregunta 1 (Paso 1): Se multiplicaron exponente e índice radical | Pregunta 2 (Paso 1): Inversión de fracción en el exponente radical | Pregunta 2 (Paso 1): Se multiplicó el índice por la potencia | Pregunta 3 (Paso 1): Inversión de exponente en la raíz | Pregunta 3 (Paso 2): Resta equivocada al exponente (5/4 - 1 = 1/4) | Pregunta 3 (Paso 2): Derivación errónea de ln(x) | Pregunta 4 (Paso 3): Error de signo al multiplicar (-1/4 * -8) | Pregunta 4 (Paso 3): Inversión del índice radical al reexpresar la raíz</t>
  </si>
  <si>
    <t>Diagnóstico: Pregunta 1 (Paso 3): Mala conversión final de exponente fraccionario a raíz | Pregunta 2 (Paso 2): Error en resta de exponentes (-8-1 y 5/6-1) | Pregunta 2 (Paso 2): Omitió derivar el término logarítmico | Pregunta 4 (Paso 1): Inversión de fracción en el exponente radical | Pregunta 4 (Paso 1): Se multiplicó el índice por la potencia</t>
  </si>
  <si>
    <t>Diagnóstico: Pregunta 1 (Paso 2): Error en resta de exponentes (-8-1 y 5/6-1) | Pregunta 2 (Paso 1): Multiplicación en lugar de división en índice radical | Pregunta 2 (Paso 1): Inversión de exponente en la raíz (índice va al denominador) | Pregunta 2 (Paso 2): Error en regla de derivación para logaritmo natural | Pregunta 2 (Paso 2): Derivación incorrecta del primer término 3x^4 | Pregunta 2 (Paso 3): Error al restar 1 en el exponente (-2 - 1 = -3) | Pregunta 2 (Paso 3): Regla de signos al bajar el exponente negativo (-1/2 * -2) | Pregunta 3 (Paso 2): Derivación errónea de ln(x) | Pregunta 3 (Paso 3): Error de signo al simplificar el segundo término | Pregunta 4 (Paso 1): Se multiplicó el índice por la potencia | Pregunta 4 (Paso 1): Inversión de fracción en el exponente radical | Pregunta 4 (Paso 2): Resta incorrecta en el exponente fraccionario (5/3 - 1) | Pregunta 4 (Paso 3): Multiplicación incorrecta de signos (-1/2 * -6) | Pregunta 4 (Paso 3): Se bajó un exponente positivo (2/3) al denominador</t>
  </si>
  <si>
    <t>Diagnóstico: Pregunta 1 (Paso 1): Error de conversión de raíz | Pregunta 1 (Paso 2): Derivación incorrecta de ln(x) como 1/x^2 | Pregunta 1 (Paso 2): Se le sumó 1 al exponente negativo (-3+1) | Pregunta 2 (Paso 1): Inversión de exponente en la raíz</t>
  </si>
  <si>
    <t>Fugas: 2 vez/veces | Detalle: Salió 2 seg (a las 09:12:03 a. m.) - Salió 6 seg (a las 09:12:05 a. m.)</t>
  </si>
  <si>
    <t>Diagnóstico: Pregunta 1 (Paso 2): Falta derivar el logaritmo | Pregunta 1 (Paso 3): Regla de signos (-1/3 * -6) | Pregunta 2 (Paso 1): Se multiplicó el índice por la potencia | Pregunta 2 (Paso 1): Inversión de fracción en el exponente radical | Pregunta 3 (Paso 2): Resta incorrecta en exponente fraccionario | Pregunta 4 (Paso 1): Inversión de exponente en la raíz (índice va al denominador)</t>
  </si>
  <si>
    <t>{"0":"Respondido","1":"Respondido","2":"Respondido","3":"Respondido"}</t>
  </si>
  <si>
    <t>Diagnóstico: Pregunta 1 (Paso 3): Error de signo al simplificar el segundo término | Pregunta 2 (Paso 1): Se puso el índice radical en el numerador | Pregunta 2 (Paso 2): Se le sumó 1 al exponente negativo (-3+1) | Pregunta 3 (Paso 1): Error de cálculo en la conversión de raíz | Pregunta 3 (Paso 1): Inversión de la fracción en exponente radical | Pregunta 4 (Paso 1): Inversión de exponente en la raíz (índice va al denominador) | Pregunta 4 (Paso 2): Derivación incorrecta del primer término 3x^4 | Pregunta 4 (Paso 2): Error en regla de derivación para logaritmo natural | Pregunta 4 (Paso 3): Error al restar 1 en el exponente (-2 - 1 = -3) | Pregunta 4 (Paso 3): Regla de signos al bajar el exponente negativo (-1/2 * -2)</t>
  </si>
  <si>
    <t>{"0":"Completado","1":"Completado","2":"Completado","3":"Completado"}</t>
  </si>
  <si>
    <t>Diagnóstico: Pregunta 1 (Paso 2): Omisión de derivada del logaritmo natural | Pregunta 1 (Paso 2): Mala aplicación del signo del exponente (-4) | Pregunta 1 (Paso 3): Confusión en regla de signos (-1/4 * -4) | Pregunta 2 (Paso 1): Inversión de la fracción del radical | Pregunta 2 (Paso 3): Inversión final de exponente radical (3/5) | Pregunta 3 (Paso 1): Exponente entero erróneo | Pregunta 3 (Paso 2): Derivada incorrecta del logaritmo | Pregunta 3 (Paso 2): Resta incorrecta en exponente fraccionario | Pregunta 3 (Paso 3): Error de signo al multiplicar coeficientes | Pregunta 4 (Paso 1): Inversión de fracción en el exponente radical | Pregunta 4 (Paso 1): Se multiplicó el índice por la potencia | Pregunta 4 (Paso 2): Resta incorrecta en el exponente fraccionario (5/3 - 1)</t>
  </si>
  <si>
    <t>Diagnóstico: Pregunta 1 (Paso 1): Inversión de exponente en la raíz | Pregunta 1 (Paso 1): Conversión incorrecta de radical a exponente | Pregunta 1 (Paso 2): Resta equivocada al exponente (5/4 - 1 = 1/4) | Pregunta 1 (Paso 2): Derivación errónea de ln(x) | Pregunta 2 (Paso 1): Se multiplicó el índice por la potencia | Pregunta 2 (Paso 1): Inversión de fracción en el exponente radical | Pregunta 2 (Paso 2): Resta incorrecta en el exponente fraccionario (5/3 - 1) | Pregunta 2 (Paso 3): Multiplicación incorrecta de signos (-1/2 * -6) | Pregunta 3 (Paso 2): Omisión de derivada del logaritmo natural | Pregunta 3 (Paso 2): Mala aplicación del signo del exponente (-4) | Pregunta 4 (Paso 2): Resta incorrecta en exponente fraccionario | Pregunta 4 (Paso 2): Derivada incorrecta del logaritmo | Pregunta 4 (Paso 3): Error de signo al multiplicar coeficientes</t>
  </si>
  <si>
    <t>Fugas: 1 vez/veces | Detalle: Salió 4 seg (a las 05:17:02 p. m.)</t>
  </si>
  <si>
    <t>Diagnóstico: Pregunta 1 (Paso 2): Derivación incorrecta de ln(x) como 1/x^2 | Pregunta 1 (Paso 3): Inversión final de raíz (índice va afuera) | Pregunta 2 (Paso 1): Inversión de potencia e índice en la raíz | Pregunta 2 (Paso 1): Se multiplicaron exponente e índice radical | Pregunta 2 (Paso 2): Mala aplicación del signo del exponente (-4) | Pregunta 2 (Paso 2): Omisión de derivada del logaritmo natural | Pregunta 3 (Paso 1): Inversión de la fracción del radical | Pregunta 3 (Paso 1): Multiplicación indebida de potencia e índice | Pregunta 3 (Paso 3): Regla de signos (-1/3 * -6) | Pregunta 4 (Paso 1): Error de cálculo en la conversión de raíz | Pregunta 4 (Paso 1): Inversión de la fracción en exponente radical | Pregunta 4 (Paso 3): Inversión del índice radical al reexpresar la raíz | Pregunta 4 (Paso 3): Error de signo al multiplicar (-1/4 * -8)</t>
  </si>
  <si>
    <t>Diagnóstico: Pregunta 1 (Paso 1): Inversión de la fracción en exponente radical | Pregunta 1 (Paso 2): Error en resta de exponentes (-8-1 y 5/6-1) | Pregunta 1 (Paso 2): Omitió derivar el término logarítmico | Pregunta 2 (Paso 1): Multiplicación en lugar de división en índice radical | Pregunta 2 (Paso 1): Inversión de exponente en la raíz (índice va al denominador) | Pregunta 2 (Paso 3): Regla de signos al bajar el exponente negativo (-1/4 * -4)</t>
  </si>
  <si>
    <t>{"0":"Completado","1":"Completado"}</t>
  </si>
  <si>
    <t>Diagnóstico: Pregunta 1 (Paso 3): Regla de signos al bajar el exponente negativo (-1/2 * -2) | Pregunta 2 (Paso 3): Exponente positivo trasladado al denominador</t>
  </si>
  <si>
    <t>Diagnóstico: Pregunta 1 (Paso 1): Multiplicación indebida de potencia e índice | Pregunta 1 (Paso 2): Falta derivar el logaritmo | Pregunta 1 (Paso 3): Inversión final de exponente radical (3/5) | Pregunta 1 (Paso 3): Regla de signos (-1/3 * -6) | Pregunta 2 (Paso 1): Error al derivar el exponente negativo en v(x) (-2 - 1 = -3)</t>
  </si>
  <si>
    <t>Diagnóstico: Pregunta 1 (Paso 1): Suma de coeficiente y exponente en lugar de multiplicación | Pregunta 1 (Paso 2): Error de signo: suma en lugar de resta en el numerador del cociente | Pregunta 1 (Paso 3): Cambio incorrecto del signo negativo al pasar el exponente al denominador | Pregunta 1 (Paso 3): Error de grado al reexpresar x^{-5} como denominador</t>
  </si>
  <si>
    <t>Fugas: 4 vez/veces | Detalle: Salió 2 seg (a las 05:51:36 p. m.) - Salió 3 seg (a las 05:51:38 p. m.) - Salió 29 seg (a las 05:51:42 p. m.) - Salió 159 seg (a las 05:52:14 p. m.)</t>
  </si>
  <si>
    <t>Diagnóstico: Pregunta 1 (Paso 3): Olvido de elevar a la cuarta el radicando tras pasar exponente -4/5 a radical | Pregunta 2 (Paso 1): Error al derivar el exponente negativo en v(x) (-5 - 1 = -6) | Pregunta 2 (Paso 1): Suma de coeficiente y exponente en lugar de multiplicación | Pregunta 2 (Paso 2): Error de signo: suma en lugar de resta en el numerador del cociente | Pregunta 2 (Paso 2): Derivación directa de numerador sobre denominador sin regla de cociente | Pregunta 2 (Paso 3): Cambio incorrecto del signo negativo al pasar el exponente al denominador | Pregunta 2 (Paso 3): Error de grado al reexpresar x^{-6} como denominador | Pregunta 3 (Paso 3): Error de signo al multiplicar coeficientes</t>
  </si>
  <si>
    <t>{"0":"Completado","1":"Completado","2":"Completado"}</t>
  </si>
  <si>
    <t>Fugas: 3 vez/veces | Detalle: Salió 2 seg (a las 10:55:50 a. m.) - Salió 3 seg (a las 10:55:52 a. m.) - Salió 4 seg (a las 10:55:55 a. m.)</t>
  </si>
  <si>
    <t>Diagnóstico: Pregunta 1 (Paso 1): Confusión entre potencia e índice radical | Pregunta 1 (Paso 1): Exponente entero erróneo | Pregunta 1 (Paso 2): Resta incorrecta en exponente fraccionario | Pregunta 1 (Paso 2): Derivada incorrecta del logaritmo | Pregunta 2 (Paso 2): Derivación directa de numerador sobre denominador sin regla de cociente | Pregunta 2 (Paso 2): Error de signo: suma en lugar de resta en el numerador del cociente | Pregunta 2 (Paso 3): Cambio incorrecto del signo negativo al pasar el exponente al denominador | Pregunta 3 (Paso 1): Error de signo al derivar el coseno (derivada de cos es -sin) | Pregunta 3 (Paso 1): Error al restar 1 en el exponente negativo (-2 - 1 = -3) | Pregunta 3 (Paso 3): Cambio incorrecto de signo al pasar x^{-3} al denominador | Pregunta 3 (Paso 3): Olvido de elevar al cuadrado el radicando tras pasar exponente -2/3 a radical | P2: Pregunta 2: Completada | Fallos en este ejercicio: 3 (Pregunta 2 (Paso 2): Derivación directa de numerador sobre denominador sin regla de cociente ; Pregunta 2 (Paso 2): Error de signo: suma en lugar de resta en el numerador del cociente ; Pregunta 2 (Paso 3): Cambio incorrecto del signo negativo al pasar el exponente al denominador) | P3: Pregunta 3: Completada | Fallos en este ejercicio: 4 (Pregunta 3 (Paso 1): Error de signo al derivar el coseno (derivada de cos es -sin) ; Pregunta 3 (Paso 1): Error al restar 1 en el exponente negativo (-2 - 1 = -3) ; Pregunta 3 (Paso 3): Cambio incorrecto de signo al pasar x^{-3} al denominador ; Pregunta 3 (Paso 3): Olvido de elevar al cuadrado el radicando tras pasar exponente -2/3 a radical)</t>
  </si>
  <si>
    <t>{"0":"Pregunta 1: Completada | Fallos en este ejercicio: 4 (Pregunta 1 (Paso 1): Confusión entre potencia e índice radical ; Pregunta 1 (Paso 1): Exponente entero erróneo ; Pregunta 1 (Paso 2): Resta incorrecta en exponente fraccionario ; Pregunta 1 (Paso 2): Derivada incorrecta del logaritmo)","1":"Pregunta 2: Completada | Fallos en este ejercicio: 3 (Pregunta 2 (Paso 2): Derivación directa de numerador sobre denominador sin regla de cociente ; Pregunta 2 (Paso 2): Error de signo: suma en lugar de resta en el numerador del cociente ; Pregunta 2 (Paso 3): Cambio incorrecto del signo negativo al pasar el exponente al denominador)","2":"Pregunta 3: Completada | Fallos en este ejercicio: 4 (Pregunta 3 (Paso 1): Error de signo al derivar el coseno (derivada de cos es -sin) ; Pregunta 3 (Paso 1): Error al restar 1 en el exponente negativo (-2 - 1 = -3) ; Pregunta 3 (Paso 3): Cambio incorrecto de signo al pasar x^{-3} al denominador ; Pregunta 3 (Paso 3): Olvido de elevar al cuadrado el radicando tras pasar exponente -2/3 a radical)"}</t>
  </si>
  <si>
    <t>Diagnóstico: Pregunta 1 (Paso 1): Error al derivar el exponente negativo en v(x) (-4 - 1 = -5) | Pregunta 1 (Paso 1): Suma de coeficiente y exponente en lugar de multiplicación | Pregunta 1 (Paso 3): Error de grado al reexpresar x^{-5} como denominador | Pregunta 2 (Paso 1): Error al derivar el exponente negativo en v(x) (-4 - 1 = -5) | Pregunta 2 (Paso 1): Suma de coeficiente y exponente en lugar de multiplicación | Pregunta 3 (Paso 1): Inversión de exponente en la raíz | Pregunta 3 (Paso 1): Conversión incorrecta de radical a exponente | Pregunta 3 (Paso 2): Derivación errónea de ln(x) | P2: Pregunta 2: Completada | Fallos en este ejercicio: 2 (Pregunta 2 (Paso 1): Error al derivar el exponente negativo en v(x) (-4 - 1 = -5) ; Pregunta 2 (Paso 1): Suma de coeficiente y exponente en lugar de multiplicación)</t>
  </si>
  <si>
    <t>{"0":"Completado","1":"Pregunta 2: Completada | Fallos en este ejercicio: 2 (Pregunta 2 (Paso 1): Error al derivar el exponente negativo en v(x) (-4 - 1 = -5) ; Pregunta 2 (Paso 1): Suma de coeficiente y exponente en lugar de multiplicación)","2":"Completado"}</t>
  </si>
  <si>
    <t>Fugas: 1 vez/veces | Detalle: Salió 6 seg (a las 11:10:22 a. m.)</t>
  </si>
  <si>
    <t>Diagnóstico: Pregunta 1 (Paso 1): Error al derivar el exponente negativo en v(x) (-4 - 1 = -5) | Pregunta 1 (Paso 1): Suma de coeficiente y exponente en lugar de multiplicación | Pregunta 1 (Paso 2): Error de signo: suma en lugar de resta en el numerador del cociente | Pregunta 1 (Paso 2): Derivación directa de numerador sobre denominador sin regla de cociente | Pregunta 1 (Paso 3): Cambio incorrecto del signo negativo al pasar el exponente al denominador | Pregunta 1 (Paso 3): Error de grado al reexpresar x^{-5} como denominador | Pregunta 2 (Paso 1): Error al restar 1 en el exponente negativo (-3 - 1 = -4) | Pregunta 2 (Paso 2): Error de fórmula: resta en lugar de suma en la regla del producto | Pregunta 2 (Paso 2): Derivación directa de factores sin aplicar regla del producto | Pregunta 2 (Paso 3): Cambio incorrecto de signo al pasar x^{-4} al denominador | Pregunta 2 (Paso 3): Olvido de elevar a la cuarta el radicando tras pasar exponente -4/5 a radical | Pregunta 3 (Paso 1): Inversión de la fracción en exponente radical | Pregunta 3 (Paso 3): Error de signo al multiplicar (-1/4 * -8)</t>
  </si>
  <si>
    <t>Fugas: 15 vez/veces | Detalle: Salió 3 seg (a las 11:17:23 a. m.) - Salió 4 seg (a las 11:17:26 a. m.) - Salió 128 seg (a las 11:17:30 a. m.) - Salió 49 seg (a las 11:20:03 a. m.) - Salió 5 seg (a las 11:21:00 a. m.) - Salió 4 seg (a las 11:21:09 a. m.) - Salió 20 seg (a las 11:21:42 a. m.) - Salió 5 seg (a las 11:22:23 a. m.) - Salió 2 seg (a las 11:22:40 a. m.) - Salió 14 seg (a las 11:23:05 a. m.) - Salió 32 seg (a las 11:23:22 a. m.) - Salió 4 seg (a las 11:23:58 a. m.) - Salió 4 seg (a las 11:24:09 a. m.) - Salió 6 seg (a las 11:24:23 a. m.) - Salió 104 seg (a las 11:25:15 a. m.)</t>
  </si>
  <si>
    <t>Diagnóstico: Pregunta 1 (Paso 2): Derivación directa de numerador sobre denominador sin regla de cociente | Pregunta 1 (Paso 2): Error de signo: suma en lugar de resta en el numerador del cociente | Pregunta 1 (Paso 3): Error de grado al reexpresar x^{-6} como denominador | Pregunta 1 (Paso 3): Cambio incorrecto del signo negativo al pasar el exponente al denominador | Pregunta 2 (Paso 2): Error de signo: suma en lugar de resta en el numerador del cociente | Pregunta 2 (Paso 3): Error de grado al reexpresar x^{-6} como denominador | Pregunta 2 (Paso 3): Cambio incorrecto del signo negativo al pasar el exponente al denominador | Pregunta 3 (Paso 1): Inversión de la fracción del radical | Pregunta 3 (Paso 1): Multiplicación indebida de potencia e índice | Pregunta 3 (Paso 2): Falta derivar el logaritmo | Pregunta 3 (Paso 3): Inversión final de exponente radical (3/5) | P2: Pregunta 2: Completada | Fallos en este ejercicio: 3 (Pregunta 2 (Paso 2): Error de signo: suma en lugar de resta en el numerador del cociente ; Pregunta 2 (Paso 3): Error de grado al reexpresar x^{-6} como denominador ; Pregunta 2 (Paso 3): Cambio incorrecto del signo negativo al pasar el exponente al denominador)</t>
  </si>
  <si>
    <t>{"0":"Completado","1":"Pregunta 2: Completada | Fallos en este ejercicio: 3 (Pregunta 2 (Paso 2): Error de signo: suma en lugar de resta en el numerador del cociente ; Pregunta 2 (Paso 3): Error de grado al reexpresar x^{-6} como denominador ; Pregunta 2 (Paso 3): Cambio incorrecto del signo negativo al pasar el exponente al denominador)","2":"Completado"}</t>
  </si>
  <si>
    <t>Fugas: 1 vez/veces | Detalle: Salió 22 seg (a las 09:17:30 a.m.)</t>
  </si>
  <si>
    <t>Diagnóstico: Pregunta 1 (Paso 1): Confusión entre potencia e índice radical | Pregunta 1 (Paso 2): Resta incorrecta en exponente fraccionario | Pregunta 1 (Paso 3): Exponente positivo trasladado al denominador | Pregunta 1 (Paso 3): Error de signo al multiplicar coeficientes | Pregunta 2 (Paso 1): Suma de coeficiente y exponente en lugar de multiplicación | Pregunta 2 (Paso 1): Error al derivar el exponente negativo en v(x) (-2 - 1 = -3) | Pregunta 2 (Paso 2): Error de signo: suma en lugar de resta en el numerador del cociente | Pregunta 2 (Paso 2): Derivación directa de numerador sobre denominador sin regla de cociente | Pregunta 2 (Paso 3): Error de grado al reexpresar x^{-3} como denominador | Pregunta 2 (Paso 3): Cambio incorrecto del signo negativo al pasar el exponente al denominador | Pregunta 3 (Paso 1): Error de signo al derivar el coseno (derivada de cos es -sin) | Pregunta 3 (Paso 3): Cambio incorrecto de signo al pasar x^{-5} al denominador | P1: Pregunta 1: Completada | Fallos en este ejercicio: 4 (Pregunta 1 (Paso 1): Confusión entre potencia e índice radical ; Pregunta 1 (Paso 2): Resta incorrecta en exponente fraccionario ; Pregunta 1 (Paso 3): Exponente positivo trasladado al denominador ; Pregunta 1 (Paso 3): Error de signo al multiplicar coeficientes) | P2: Pregunta 2: Completada | Fallos en este ejercicio: 6 (Pregunta 2 (Paso 1): Suma de coeficiente y exponente en lugar de multiplicación ; Pregunta 2 (Paso 1): Error al derivar el exponente negativo en v(x) (-2 - 1 = -3) ; Pregunta 2 (Paso 2): Error de signo: suma en lugar de resta en el numerador del cociente ; Pregunta 2 (Paso 2): Derivación directa de numerador sobre denominador sin regla de cociente ; Pregunta 2 (Paso 3): Error de grado al reexpresar x^{-3} como denominador ; Pregunta 2 (Paso 3): Cambio incorrecto del signo negativo al pasar el exponente al denominador) | P3: Pregunta 3: Completada | Fallos en este ejercicio: 2 (Pregunta 3 (Paso 1): Error de signo al derivar el coseno (derivada de cos es -sin) ; Pregunta 3 (Paso 3): Cambio incorrecto de signo al pasar x^{-5} al denominador)</t>
  </si>
  <si>
    <t>{"0":"Pregunta 1: Completada | Fallos en este ejercicio: 4 (Pregunta 1 (Paso 1): Confusión entre potencia e índice radical ; Pregunta 1 (Paso 2): Resta incorrecta en exponente fraccionario ; Pregunta 1 (Paso 3): Exponente positivo trasladado al denominador ; Pregunta 1 (Paso 3): Error de signo al multiplicar coeficientes)","1":"Pregunta 2: Completada | Fallos en este ejercicio: 6 (Pregunta 2 (Paso 1): Suma de coeficiente y exponente en lugar de multiplicación ; Pregunta 2 (Paso 1): Error al derivar el exponente negativo en v(x) (-2 - 1 = -3) ; Pregunta 2 (Paso 2): Error de signo: suma en lugar de resta en el numerador del cociente ; Pregunta 2 (Paso 2): Derivación directa de numerador sobre denominador sin regla de cociente ; Pregunta 2 (Paso 3): Error de grado al reexpresar x^{-3} como denominador ; Pregunta 2 (Paso 3): Cambio incorrecto del signo negativo al pasar el exponente al denominador)","2":"Pregunta 3: Completada | Fallos en este ejercicio: 2 (Pregunta 3 (Paso 1): Error de signo al derivar el coseno (derivada de cos es -sin) ; Pregunta 3 (Paso 3): Cambio incorrecto de signo al pasar x^{-5} al denominador)"}</t>
  </si>
  <si>
    <t>Diagnóstico: Pregunta 1 (Paso 1): Inversión de potencia e índice en la raíz | Pregunta 1 (Paso 2): Omisión de derivada del logaritmo natural | Pregunta 1 (Paso 2): Mala aplicación del signo del exponente (-4) | Pregunta 2 (Paso 1): Inversión de potencia e índice en la raíz | Pregunta 2 (Paso 1): Se multiplicaron exponente e índice radical | Pregunta 2 (Paso 2): Mala aplicación del signo del exponente (-4) | Pregunta 2 (Paso 2): Omisión de derivada del logaritmo natural | Pregunta 2 (Paso 3): Mala conversión final de exponente fraccionario a raíz | Pregunta 3 (Paso 1): Error de signo al derivar el coseno (derivada de cos es -sin) | Pregunta 3 (Paso 2): Derivación directa de factores sin aplicar regla del producto | Pregunta 3 (Paso 2): Error de fórmula: resta en lugar de suma en la regla del producto | P3: Pregunta 3: Completada | Fallos en este ejercicio: 3 (Pregunta 3 (Paso 1): Error de signo al derivar el coseno (derivada de cos es -sin) ; Pregunta 3 (Paso 2): Derivación directa de factores sin aplicar regla del producto ; Pregunta 3 (Paso 2): Error de fórmula: resta en lugar de suma en la regla del producto)</t>
  </si>
  <si>
    <t>{"0":"Completado","1":"Completado","2":"Pregunta 3: Completada | Fallos en este ejercicio: 3 (Pregunta 3 (Paso 1): Error de signo al derivar el coseno (derivada de cos es -sin) ; Pregunta 3 (Paso 2): Derivación directa de factores sin aplicar regla del producto ; Pregunta 3 (Paso 2): Error de fórmula: resta en lugar de suma en la regla del producto)"}</t>
  </si>
  <si>
    <t>Fugas: 3 vez/veces | Detalle: Salió 5 seg (a las 03:07:36 p. m.) - Salió 9 seg (a las 03:08:01 p. m.) - Salió 2 seg (a las 03:09:16 p. m.)</t>
  </si>
  <si>
    <t>Diagnóstico: Pregunta 1 (Paso 2): Error de signo: suma en lugar de resta en el numerador del cociente | Pregunta 1 (Paso 3): Cambio incorrecto del signo negativo al pasar el exponente al denominador | Pregunta 2 (Paso 2): Error de fórmula: resta en lugar de suma en la regla del producto | Pregunta 2 (Paso 3): Olvido de elevar al cuadrado el radicando tras pasar exponente -2/3 a radical | Pregunta 3 (Paso 1): Inversión de exponente en la raíz (índice va al denominador) | Pregunta 3 (Paso 2): Error en regla de derivación para logaritmo natural | Pregunta 3 (Paso 2): Derivación incorrecta del primer término 3x^4</t>
  </si>
  <si>
    <t>Fugas: 1 vez/veces | Detalle: Salió 43 seg (a las 03:07:12 p. m.)</t>
  </si>
  <si>
    <t>Diagnóstico: Pregunta 1 (Paso 1): Conversión incorrecta de radical a exponente | Pregunta 1 (Paso 1): Inversión de exponente en la raíz | Pregunta 1 (Paso 2): Resta equivocada al exponente (5/4 - 1 = 1/4) | Pregunta 2 (Paso 1): Error de signo al derivar el coseno (derivada de cos es -sin) | Pregunta 2 (Paso 1): Error al restar 1 en el exponente negativo (-4 - 1 = -5) | Pregunta 3 (Paso 3): Error de grado al reexpresar x^{-4} como denominador</t>
  </si>
  <si>
    <t>{"0":"Pregunta 1: Completada | Fallos en este ejercicio: 3 (Pregunta 1 (Paso 1): Conversión incorrecta de radical a exponente ; Pregunta 1 (Paso 1): Inversión de exponente en la raíz ; Pregunta 1 (Paso 2): Resta equivocada al exponente (5/4 - 1 = 1/4))","1":"Completado","2":"Completado"}</t>
  </si>
  <si>
    <t>Fugas: 1 vez/veces | Detalle: Salió 3 seg (a las 03:09:13 p.m.)</t>
  </si>
  <si>
    <t>Diagnóstico: Pregunta 1 (Paso 2): Derivada incorrecta del logaritmo | Pregunta 1 (Paso 3): Exponente positivo trasladado al denominador | Pregunta 1 (Paso 3): Error de signo al multiplicar coeficientes | Pregunta 2 (Paso 1): Suma de coeficiente y exponente en lugar de multiplicación | Pregunta 2 (Paso 1): Error al derivar el exponente negativo en v(x) (-2 - 1 = -3) | Pregunta 2 (Paso 2): Error de signo: suma en lugar de resta en el numerador del cociente | Pregunta 2 (Paso 2): Derivación directa de numerador sobre denominador sin regla de cociente | Pregunta 3 (Paso 1): Error al restar 1 en el exponente negativo (-4 - 1 = -5) | Pregunta 3 (Paso 1): Error de signo al derivar el coseno (derivada de cos es -sin) | Pregunta 3 (Paso 2): Error de fórmula: resta en lugar de suma en la regla del producto | P1: Pregunta 1: Completada | Fallos en este ejercicio: 3 (Pregunta 1 (Paso 2): Derivada incorrecta del logaritmo ; Pregunta 1 (Paso 3): Exponente positivo trasladado al denominador ; Pregunta 1 (Paso 3): Error de signo al multiplicar coeficientes) | P2: Pregunta 2: Completada | Fallos en este ejercicio: 4 (Pregunta 2 (Paso 1): Suma de coeficiente y exponente en lugar de multiplicación ; Pregunta 2 (Paso 1): Error al derivar el exponente negativo en v(x) (-2 - 1 = -3) ; Pregunta 2 (Paso 2): Error de signo: suma en lugar de resta en el numerador del cociente ; Pregunta 2 (Paso 2): Derivación directa de numerador sobre denominador sin regla de cociente) | P3: Pregunta 3: Completada | Fallos en este ejercicio: 3 (Pregunta 3 (Paso 1): Error al restar 1 en el exponente negativo (-4 - 1 = -5) ; Pregunta 3 (Paso 1): Error de signo al derivar el coseno (derivada de cos es -sin) ; Pregunta 3 (Paso 2): Error de fórmula: resta en lugar de suma en la regla del producto)</t>
  </si>
  <si>
    <t>{"0":"Pregunta 1: Completada | Fallos en este ejercicio: 3 (Pregunta 1 (Paso 2): Derivada incorrecta del logaritmo ; Pregunta 1 (Paso 3): Exponente positivo trasladado al denominador ; Pregunta 1 (Paso 3): Error de signo al multiplicar coeficientes)","1":"Pregunta 2: Completada | Fallos en este ejercicio: 4 (Pregunta 2 (Paso 1): Suma de coeficiente y exponente en lugar de multiplicación ; Pregunta 2 (Paso 1): Error al derivar el exponente negativo en v(x) (-2 - 1 = -3) ; Pregunta 2 (Paso 2): Error de signo: suma en lugar de resta en el numerador del cociente ; Pregunta 2 (Paso 2): Derivación directa de numerador sobre denominador sin regla de cociente)","2":"Pregunta 3: Completada | Fallos en este ejercicio: 3 (Pregunta 3 (Paso 1): Error al restar 1 en el exponente negativo (-4 - 1 = -5) ; Pregunta 3 (Paso 1): Error de signo al derivar el coseno (derivada de cos es -sin) ; Pregunta 3 (Paso 2): Error de fórmula: resta en lugar de suma en la regla del producto)"}</t>
  </si>
  <si>
    <t>Diagnóstico: Pregunta 1 (Paso 1): Suma de coeficiente y exponente en lugar de multiplicación | Pregunta 1 (Paso 3): Error de grado al reexpresar x^{-4} como denominador | Pregunta 1 (Paso 3): Cambio incorrecto del signo negativo al pasar el exponente al denominador | Pregunta 2 (Paso 1): Se puso el índice radical en el numerador | Pregunta 2 (Paso 2): Derivación incorrecta de ln(x) como 1/x^2 | Pregunta 2 (Paso 3): Error de signo al simplificar -1/3 * -3 | Pregunta 2 (Paso 3): Inversión final de raíz (índice va afuera) | Pregunta 3 (Paso 1): Error de signo al derivar el coseno (derivada de cos es -sin) | Pregunta 3 (Paso 2): Derivación directa de factores sin aplicar regla del producto | Pregunta 3 (Paso 2): Error de fórmula: resta en lugar de suma en la regla del producto | P3: Pregunta 3: Completada | Fallos en este ejercicio: 3 (Pregunta 3 (Paso 1): Error de signo al derivar el coseno (derivada de cos es -sin) ; Pregunta 3 (Paso 2): Derivación directa de factores sin aplicar regla del producto ; Pregunta 3 (Paso 2): Error de fórmula: resta en lugar de suma en la regla del producto)</t>
  </si>
  <si>
    <t>Fugas: 2 vez/veces | Detalle: Salió 27 seg (a las 03:07:22 p.m.) - Salió 10 seg (a las 03:08:51 p.m.)</t>
  </si>
  <si>
    <t>Diagnóstico: Pregunta 1 (Paso 1): Suma de coeficiente y exponente en lugar de multiplicación | Pregunta 1 (Paso 1): Error al derivar el exponente negativo en v(x) (-3 - 1 = -4) | Pregunta 1 (Paso 2): Derivación directa de numerador sobre denominador sin regla de cociente | Pregunta 2 (Paso 1): Error de signo al derivar el coseno (derivada de cos es -sin) | Pregunta 3 (Paso 1): Inversión de potencia e índice en la raíz | Pregunta 3 (Paso 3): Mala conversión final de exponente fraccionario a raíz | Pregunta 3 (Paso 3): Confusión en regla de signos (-1/4 * -4)</t>
  </si>
  <si>
    <t>Diagnóstico: Pregunta 1 (Paso 1): Inversión de fracción en el exponente radical | Pregunta 1 (Paso 2): Falta derivar el término logarítmico | Pregunta 1 (Paso 3): Multiplicación incorrecta de signos (-1/2 * -6) | Pregunta 1 (Paso 3): Se bajó un exponente positivo (2/3) al denominador | Pregunta 2 (Paso 2): Error de fórmula: resta en lugar de suma en la regla del producto | Pregunta 2 (Paso 3): Cambio incorrecto de signo al pasar x^{-3} al denominador | Pregunta 3 (Paso 3): Error de grado al reexpresar x^{-4} como denominador</t>
  </si>
  <si>
    <t>{"0":"Pregunta 1: Completada | Fallos en este ejercicio: 4 (Pregunta 1 (Paso 1): Inversión de fracción en el exponente radical ; Pregunta 1 (Paso 2): Falta derivar el término logarítmico ; Pregunta 1 (Paso 3): Multiplicación incorrecta de signos (-1/2 * -6) ; Pregunta 1 (Paso 3): Se bajó un exponente positivo (2/3) al denominador)","1":"Completado","2":"Completado"}</t>
  </si>
  <si>
    <t>Fugas: 1 vez/veces | Detalle: Salió 2 seg (a las 03:09:39 p. m.)</t>
  </si>
  <si>
    <t>Diagnóstico: Pregunta 1 (Paso 2): Derivación directa de numerador sobre denominador sin regla de cociente | Pregunta 2 (Paso 1): Error al restar 1 en el exponente negativo (-2 - 1 = -3) | Pregunta 2 (Paso 1): Error de signo al derivar el coseno (derivada de cos es -sin) | Pregunta 2 (Paso 3): Cambio incorrecto de signo al pasar x^{-3} al denominador | Pregunta 3 (Paso 1): Inversión de exponente en la raíz (índice va al denominador) | Pregunta 3 (Paso 2): Error en regla de derivación para logaritmo natural | Pregunta 3 (Paso 3): Error al restar 1 en el exponente (-2 - 1 = -3)</t>
  </si>
  <si>
    <t>Fugas: 2 vez/veces | Detalle: Salió 5 seg (a las 03:09:50 p.m.) - Salió 2 seg (a las 03:10:01 p.m.)</t>
  </si>
  <si>
    <t>Diagnóstico: Pregunta 1 (Paso 1): Error de signo al derivar el coseno (derivada de cos es -sin) | Pregunta 1 (Paso 1): Error al restar 1 en el exponente negativo (-4 - 1 = -5) | Pregunta 1 (Paso 2): Derivación directa de factores sin aplicar regla del producto | Pregunta 2 (Paso 2): Error de signo: suma en lugar de resta en el numerador del cociente | Pregunta 2 (Paso 2): Derivación directa de numerador sobre denominador sin regla de cociente | Pregunta 2 (Paso 3): Cambio incorrecto del signo negativo al pasar el exponente al denominador | Pregunta 2 (Paso 3): Error de grado al reexpresar x^{-3} como denominador | Pregunta 3 (Paso 2): Derivada incorrecta del logaritmo | Pregunta 3 (Paso 2): Resta incorrecta en exponente fraccionario | Pregunta 3 (Paso 3): Error de signo al multiplicar coeficientes | P2: Pregunta 2: Completada | Fallos en este ejercicio: 4 (Pregunta 2 (Paso 2): Error de signo: suma en lugar de resta en el numerador del cociente ; Pregunta 2 (Paso 2): Derivación directa de numerador sobre denominador sin regla de cociente ; Pregunta 2 (Paso 3): Cambio incorrecto del signo negativo al pasar el exponente al denominador ; Pregunta 2 (Paso 3): Error de grado al reexpresar x^{-3} como denominador)</t>
  </si>
  <si>
    <t>{"0":"Completado","1":"Pregunta 2: Completada | Fallos en este ejercicio: 4 (Pregunta 2 (Paso 2): Error de signo: suma en lugar de resta en el numerador del cociente ; Pregunta 2 (Paso 2): Derivación directa de numerador sobre denominador sin regla de cociente ; Pregunta 2 (Paso 3): Cambio incorrecto del signo negativo al pasar el exponente al denominador ; Pregunta 2 (Paso 3): Error de grado al reexpresar x^{-3} como denominador)","2":"Completado"}</t>
  </si>
  <si>
    <t>Fugas: 2 vez/veces | Detalle: Salió 17 seg (a las 03:10:03 p.m.) - Salió 3 seg (a las 03:10:34 p.m.)</t>
  </si>
  <si>
    <t>Diagnóstico: Pregunta 1 (Paso 1): Suma de coeficiente y exponente en lugar de multiplicación | Pregunta 1 (Paso 1): Error al derivar el exponente negativo en v(x) (-3 - 1 = -4) | Pregunta 1 (Paso 3): Error de grado al reexpresar x^{-4} como denominador | Pregunta 1 (Paso 3): Cambio incorrecto del signo negativo al pasar el exponente al denominador | Pregunta 2 (Paso 1): Suma de coeficiente y exponente en lugar de multiplicación | Pregunta 2 (Paso 1): Error al derivar el exponente negativo en v(x) (-3 - 1 = -4) | Pregunta 3 (Paso 2): Derivación errónea de ln(x) | Pregunta 3 (Paso 2): Resta equivocada al exponente (5/4 - 1 = 1/4) | P2: Pregunta 2: Completada | Fallos en este ejercicio: 2 (Pregunta 2 (Paso 1): Suma de coeficiente y exponente en lugar de multiplicación ; Pregunta 2 (Paso 1): Error al derivar el exponente negativo en v(x) (-3 - 1 = -4))</t>
  </si>
  <si>
    <t>{"0":"Completado","1":"Pregunta 2: Completada | Fallos en este ejercicio: 2 (Pregunta 2 (Paso 1): Suma de coeficiente y exponente en lugar de multiplicación ; Pregunta 2 (Paso 1): Error al derivar el exponente negativo en v(x) (-3 - 1 = -4))","2":"Completado"}</t>
  </si>
  <si>
    <t>Fugas: 2 vez/veces | Detalle: Salió 35 seg (a las 03:09:42 p.m.) - Salió 4 seg (a las 03:10:27 p.m.)</t>
  </si>
  <si>
    <t>Diagnóstico: Pregunta 1 (Paso 1): Suma de coeficiente y exponente en lugar de multiplicación | Pregunta 1 (Paso 1): Error al derivar el exponente negativo en v(x) (-4 - 1 = -5) | Pregunta 1 (Paso 2): Derivación directa de numerador sobre denominador sin regla de cociente | Pregunta 1 (Paso 2): Error de signo: suma en lugar de resta en el numerador del cociente | Pregunta 1 (Paso 3): Error de grado al reexpresar x^{-5} como denominador | Pregunta 2 (Paso 1): Error al restar 1 en el exponente negativo (-2 - 1 = -3) | Pregunta 2 (Paso 1): Error de signo al derivar el coseno (derivada de cos es -sin) | Pregunta 2 (Paso 2): Error de fórmula: resta en lugar de suma en la regla del producto | Pregunta 2 (Paso 2): Derivación directa de factores sin aplicar regla del producto | Pregunta 2 (Paso 3): Olvido de elevar al cuadrado el radicando tras pasar exponente -2/3 a radical | Pregunta 3 (Paso 3): Se bajó un exponente positivo (2/3) al denominador | Pregunta 3 (Paso 3): Multiplicación incorrecta de signos (-1/2 * -6)</t>
  </si>
  <si>
    <t>Fugas: 3 vez/veces | Detalle: Salió 14 seg (a las 03:09:33 p.m.) - Salió 5 seg (a las 03:10:00 p.m.) - Salió 20 seg (a las 03:10:12 p.m.)</t>
  </si>
  <si>
    <t>Diagnóstico: Pregunta 1 (Paso 2): Error de signo: suma en lugar de resta en el numerador del cociente | Pregunta 1 (Paso 2): Derivación directa de numerador sobre denominador sin regla de cociente | Pregunta 1 (Paso 3): Cambio incorrecto del signo negativo al pasar el exponente al denominador | Pregunta 1 (Paso 3): Error de grado al reexpresar x^{-4} como denominador | Pregunta 2 (Paso 1): Error de signo al derivar el coseno (derivada de cos es -sin) | Pregunta 2 (Paso 1): Error al restar 1 en el exponente negativo (-2 - 1 = -3) | P1: Pregunta 1: Completada | Fallos en este ejercicio: 4 (Pregunta 1 (Paso 2): Error de signo: suma en lugar de resta en el numerador del cociente ; Pregunta 1 (Paso 2): Derivación directa de numerador sobre denominador sin regla de cociente ; Pregunta 1 (Paso 3): Cambio incorrecto del signo negativo al pasar el exponente al denominador ; Pregunta 1 (Paso 3): Error de grado al reexpresar x^{-4} como denominador)</t>
  </si>
  <si>
    <t>{"0":"Pregunta 1: Completada | Fallos en este ejercicio: 4 (Pregunta 1 (Paso 2): Error de signo: suma en lugar de resta en el numerador del cociente ; Pregunta 1 (Paso 2): Derivación directa de numerador sobre denominador sin regla de cociente ; Pregunta 1 (Paso 3): Cambio incorrecto del signo negativo al pasar el exponente al denominador ; Pregunta 1 (Paso 3): Error de grado al reexpresar x^{-4} como denominador)","1":"Completado","2":"Completado"}</t>
  </si>
  <si>
    <t>Fugas: 3 vez/veces | Detalle: Salió 3 seg (a las 03:10:03 p.m.) - Salió 23 seg (a las 03:10:10 p.m.) - Salió 10 seg (a las 03:10:34 p.m.)</t>
  </si>
  <si>
    <t>Diagnóstico: Pregunta 1 (Paso 1): Error de signo al derivar el coseno (derivada de cos es -sin) | Pregunta 1 (Paso 1): Error al restar 1 en el exponente negativo (-4 - 1 = -5) | Pregunta 1 (Paso 3): Cambio incorrecto de signo al pasar x^{-5} al denominador | Pregunta 1 (Paso 3): Olvido de elevar al cuadrado el radicando tras pasar exponente -2/3 a radical | Pregunta 2 (Paso 3): Error de grado al reexpresar x^{-3} como denominador | Pregunta 3 (Paso 1): Error al restar 1 en el exponente negativo (-4 - 1 = -5) | Pregunta 3 (Paso 1): Error de signo al derivar el coseno (derivada de cos es -sin) | Pregunta 3 (Paso 3): Olvido de elevar al cuadrado el radicando tras pasar exponente -2/3 a radical | Pregunta 3 (Paso 3): Cambio incorrecto de signo al pasar x^{-5} al denominador | P1: Pregunta 1: Completada | Fallos en este ejercicio: 4 (Pregunta 1 (Paso 1): Error de signo al derivar el coseno (derivada de cos es -sin) ; Pregunta 1 (Paso 1): Error al restar 1 en el exponente negativo (-4 - 1 = -5) ; Pregunta 1 (Paso 3): Cambio incorrecto de signo al pasar x^{-5} al denominador ; Pregunta 1 (Paso 3): Olvido de elevar al cuadrado el radicando tras pasar exponente -2/3 a radical) | P2: Pregunta 2: Completada | Fallos en este ejercicio: 1 (Pregunta 2 (Paso 3): Error de grado al reexpresar x^{-3} como denominador) | P3: Pregunta 3: Completada | Fallos en este ejercicio: 4 (Pregunta 3 (Paso 1): Error al restar 1 en el exponente negativo (-4 - 1 = -5) ; Pregunta 3 (Paso 1): Error de signo al derivar el coseno (derivada de cos es -sin) ; Pregunta 3 (Paso 3): Olvido de elevar al cuadrado el radicando tras pasar exponente -2/3 a radical ; Pregunta 3 (Paso 3): Cambio incorrecto de signo al pasar x^{-5} al denominador)</t>
  </si>
  <si>
    <t>{"0":"Pregunta 1: Completada | Fallos en este ejercicio: 4 (Pregunta 1 (Paso 1): Error de signo al derivar el coseno (derivada de cos es -sin) ; Pregunta 1 (Paso 1): Error al restar 1 en el exponente negativo (-4 - 1 = -5) ; Pregunta 1 (Paso 3): Cambio incorrecto de signo al pasar x^{-5} al denominador ; Pregunta 1 (Paso 3): Olvido de elevar al cuadrado el radicando tras pasar exponente -2/3 a radical)","1":"Pregunta 2: Completada | Fallos en este ejercicio: 1 (Pregunta 2 (Paso 3): Error de grado al reexpresar x^{-3} como denominador)","2":"Pregunta 3: Completada | Fallos en este ejercicio: 4 (Pregunta 3 (Paso 1): Error al restar 1 en el exponente negativo (-4 - 1 = -5) ; Pregunta 3 (Paso 1): Error de signo al derivar el coseno (derivada de cos es -sin) ; Pregunta 3 (Paso 3): Olvido de elevar al cuadrado el radicando tras pasar exponente -2/3 a radical ; Pregunta 3 (Paso 3): Cambio incorrecto de signo al pasar x^{-5} al denominador)"}</t>
  </si>
  <si>
    <t>Fugas: 3 vez/veces | Detalle: Salió 10 seg (a las 03:10:04 p.m.) - Salió 7 seg (a las 03:10:22 p.m.) - Salió 6 seg (a las 03:10:33 p.m.)</t>
  </si>
  <si>
    <t>Diagnóstico: Pregunta 1 (Paso 2): Derivación directa de numerador sobre denominador sin regla de cociente | Pregunta 1 (Paso 2): Error de signo: suma en lugar de resta en el numerador del cociente | Pregunta 1 (Paso 3): Cambio incorrecto del signo negativo al pasar el exponente al denominador | Pregunta 2 (Paso 1): Error al derivar el exponente negativo en v(x) (-4 - 1 = -5) | Pregunta 2 (Paso 1): Suma de coeficiente y exponente en lugar de multiplicación | Pregunta 2 (Paso 2): Error de signo: suma en lugar de resta en el numerador del cociente | Pregunta 2 (Paso 3): Cambio incorrecto del signo negativo al pasar el exponente al denominador | Pregunta 3 (Paso 1): Inversión de la fracción en exponente radical | Pregunta 3 (Paso 2): Omitió derivar el término logarítmico | Pregunta 3 (Paso 3): Error de signo al multiplicar (-1/4 * -8) | P2: Pregunta 2: Completada | Fallos en este ejercicio: 4 (Pregunta 2 (Paso 1): Error al derivar el exponente negativo en v(x) (-4 - 1 = -5) ; Pregunta 2 (Paso 1): Suma de coeficiente y exponente en lugar de multiplicación ; Pregunta 2 (Paso 2): Error de signo: suma en lugar de resta en el numerador del cociente ; Pregunta 2 (Paso 3): Cambio incorrecto del signo negativo al pasar el exponente al denominador)</t>
  </si>
  <si>
    <t>{"0":"Completado","1":"Pregunta 2: Completada | Fallos en este ejercicio: 4 (Pregunta 2 (Paso 1): Error al derivar el exponente negativo en v(x) (-4 - 1 = -5) ; Pregunta 2 (Paso 1): Suma de coeficiente y exponente en lugar de multiplicación ; Pregunta 2 (Paso 2): Error de signo: suma en lugar de resta en el numerador del cociente ; Pregunta 2 (Paso 3): Cambio incorrecto del signo negativo al pasar el exponente al denominador)","2":"Completado"}</t>
  </si>
  <si>
    <t>Diagnóstico: Pregunta 1 (Paso 3): Cambio incorrecto de signo al pasar x^{-4} al denominador | Pregunta 2 (Paso 1): Inversión de exponente en la raíz | Pregunta 2 (Paso 1): Conversión incorrecta de radical a exponente | Pregunta 2 (Paso 3): Se envió un exponente positivo al denominador | Pregunta 3 (Paso 1): Error al restar 1 en el exponente negativo (-3 - 1 = -4) | Pregunta 3 (Paso 2): Error de fórmula: resta en lugar de suma en la regla del producto | Pregunta 3 (Paso 2): Derivación directa de factores sin aplicar regla del producto | Pregunta 3 (Paso 3): Olvido de elevar al cuadrado el radicando tras pasar exponente -2/3 a radical | P3: Pregunta 3: Completada | Fallos en este ejercicio: 4 (Pregunta 3 (Paso 1): Error al restar 1 en el exponente negativo (-3 - 1 = -4) ; Pregunta 3 (Paso 2): Error de fórmula: resta en lugar de suma en la regla del producto ; Pregunta 3 (Paso 2): Derivación directa de factores sin aplicar regla del producto ; Pregunta 3 (Paso 3): Olvido de elevar al cuadrado el radicando tras pasar exponente -2/3 a radical)</t>
  </si>
  <si>
    <t>{"0":"Completado","1":"Completado","2":"Pregunta 3: Completada | Fallos en este ejercicio: 4 (Pregunta 3 (Paso 1): Error al restar 1 en el exponente negativo (-3 - 1 = -4) ; Pregunta 3 (Paso 2): Error de fórmula: resta en lugar de suma en la regla del producto ; Pregunta 3 (Paso 2): Derivación directa de factores sin aplicar regla del producto ; Pregunta 3 (Paso 3): Olvido de elevar al cuadrado el radicando tras pasar exponente -2/3 a radical)"}</t>
  </si>
  <si>
    <t>Fugas: 1 vez/veces | Detalle: Salió 9 seg (a las 15:10:28)</t>
  </si>
  <si>
    <t>Diagnóstico: Pregunta 1 (Paso 1): Error al restar 1 en el exponente negativo (-3 - 1 = -4) | Pregunta 1 (Paso 1): Error de signo al derivar el coseno (derivada de cos es -sin) | Pregunta 1 (Paso 2): Derivación directa de factores sin aplicar regla del producto | Pregunta 1 (Paso 2): Error de fórmula: resta en lugar de suma en la regla del producto | Pregunta 1 (Paso 3): Olvido de elevar a la cuarta el radicando tras pasar exponente -4/5 a radical | Pregunta 1 (Paso 3): Cambio incorrecto de signo al pasar x^{-4} al denominador | Pregunta 2 (Paso 1): Suma de coeficiente y exponente en lugar de multiplicación | Pregunta 2 (Paso 2): Error de signo: suma en lugar de resta en el numerador del cociente | Pregunta 2 (Paso 3): Error de grado al reexpresar x^{-3} como denominador | Pregunta 2 (Paso 3): Cambio incorrecto del signo negativo al pasar el exponente al denominador | Pregunta 3 (Paso 1): Error al restar 1 en el exponente negativo (-3 - 1 = -4) | Pregunta 3 (Paso 1): Error de signo al derivar el coseno (derivada de cos es -sin) | Pregunta 3 (Paso 2): Error de fórmula: resta en lugar de suma en la regla del producto | P1: Pregunta 1: Completada | Fallos en este ejercicio: 6 (Pregunta 1 (Paso 1): Error al restar 1 en el exponente negativo (-3 - 1 = -4) ; Pregunta 1 (Paso 1): Error de signo al derivar el coseno (derivada de cos es -sin) ; Pregunta 1 (Paso 2): Derivación directa de factores sin aplicar regla del producto ; Pregunta 1 (Paso 2): Error de fórmula: resta en lugar de suma en la regla del producto ; Pregunta 1 (Paso 3): Olvido de elevar a la cuarta el radicando tras pasar exponente -4/5 a radical ; Pregunta 1 (Paso 3): Cambio incorrecto de signo al pasar x^{-4} al denominador) | P2: Pregunta 2: Completada | Fallos en este ejercicio: 4 (Pregunta 2 (Paso 1): Suma de coeficiente y exponente en lugar de multiplicación ; Pregunta 2 (Paso 2): Error de signo: suma en lugar de resta en el numerador del cociente ; Pregunta 2 (Paso 3): Error de grado al reexpresar x^{-3} como denominador ; Pregunta 2 (Paso 3): Cambio incorrecto del signo negativo al pasar el exponente al denominador) | P3: Pregunta 3: Completada | Fallos en este ejercicio: 3 (Pregunta 3 (Paso 1): Error al restar 1 en el exponente negativo (-3 - 1 = -4) ; Pregunta 3 (Paso 1): Error de signo al derivar el coseno (derivada de cos es -sin) ; Pregunta 3 (Paso 2): Error de fórmula: resta en lugar de suma en la regla del producto)</t>
  </si>
  <si>
    <t>{"0":"Pregunta 1: Completada | Fallos en este ejercicio: 6 (Pregunta 1 (Paso 1): Error al restar 1 en el exponente negativo (-3 - 1 = -4) ; Pregunta 1 (Paso 1): Error de signo al derivar el coseno (derivada de cos es -sin) ; Pregunta 1 (Paso 2): Derivación directa de factores sin aplicar regla del producto ; Pregunta 1 (Paso 2): Error de fórmula: resta en lugar de suma en la regla del producto ; Pregunta 1 (Paso 3): Olvido de elevar a la cuarta el radicando tras pasar exponente -4/5 a radical ; Pregunta 1 (Paso 3): Cambio incorrecto de signo al pasar x^{-4} al denominador)","1":"Pregunta 2: Completada | Fallos en este ejercicio: 4 (Pregunta 2 (Paso 1): Suma de coeficiente y exponente en lugar de multiplicación ; Pregunta 2 (Paso 2): Error de signo: suma en lugar de resta en el numerador del cociente ; Pregunta 2 (Paso 3): Error de grado al reexpresar x^{-3} como denominador ; Pregunta 2 (Paso 3): Cambio incorrecto del signo negativo al pasar el exponente al denominador)","2":"Pregunta 3: Completada | Fallos en este ejercicio: 3 (Pregunta 3 (Paso 1): Error al restar 1 en el exponente negativo (-3 - 1 = -4) ; Pregunta 3 (Paso 1): Error de signo al derivar el coseno (derivada de cos es -sin) ; Pregunta 3 (Paso 2): Error de fórmula: resta en lugar de suma en la regla del producto)"}</t>
  </si>
  <si>
    <t>Fugas: 3 vez/veces | Detalle: Salió 4 seg (a las 03:10:17 p. m.) - Salió 4 seg (a las 03:10:29 p. m.) - Salió 2 seg (a las 03:11:07 p. m.)</t>
  </si>
  <si>
    <t>Diagnóstico: Pregunta 1 (Paso 1): Multiplicación indebida de potencia e índice | Pregunta 1 (Paso 1): Inversión de la fracción del radical | Pregunta 1 (Paso 3): Inversión final de exponente radical (3/5) | Pregunta 1 (Paso 3): Regla de signos (-1/3 * -6) | Pregunta 3 (Paso 1): Error al restar 1 en el exponente negativo (-3 - 1 = -4) | Pregunta 3 (Paso 1): Error de signo al derivar el coseno (derivada de cos es -sin) | Pregunta 3 (Paso 2): Derivación directa de factores sin aplicar regla del producto | Pregunta 3 (Paso 3): Olvido de elevar a la cuarta el radicando tras pasar exponente -4/5 a radical | P3: Pregunta 3: Completada | Fallos en este ejercicio: 4 (Pregunta 3 (Paso 1): Error al restar 1 en el exponente negativo (-3 - 1 = -4) ; Pregunta 3 (Paso 1): Error de signo al derivar el coseno (derivada de cos es -sin) ; Pregunta 3 (Paso 2): Derivación directa de factores sin aplicar regla del producto ; Pregunta 3 (Paso 3): Olvido de elevar a la cuarta el radicando tras pasar exponente -4/5 a radical)</t>
  </si>
  <si>
    <t>{"0":"Completado","1":"Completado","2":"Pregunta 3: Completada | Fallos en este ejercicio: 4 (Pregunta 3 (Paso 1): Error al restar 1 en el exponente negativo (-3 - 1 = -4) ; Pregunta 3 (Paso 1): Error de signo al derivar el coseno (derivada de cos es -sin) ; Pregunta 3 (Paso 2): Derivación directa de factores sin aplicar regla del producto ; Pregunta 3 (Paso 3): Olvido de elevar a la cuarta el radicando tras pasar exponente -4/5 a radical)"}</t>
  </si>
  <si>
    <t>Fugas: 3 vez/veces | Detalle: Salió 7 seg (a las 03:10:22 p.m.) - Salió 3 seg (a las 03:10:32 p.m.) - Salió 8 seg (a las 03:10:45 p.m.)</t>
  </si>
  <si>
    <t>Diagnóstico: Pregunta 1 (Paso 2): Error de signo: suma en lugar de resta en el numerador del cociente | Pregunta 1 (Paso 2): Derivación directa de numerador sobre denominador sin regla de cociente | Pregunta 1 (Paso 3): Cambio incorrecto del signo negativo al pasar el exponente al denominador | Pregunta 1 (Paso 3): Error de grado al reexpresar x^{-4} como denominador | Pregunta 2 (Paso 1): Inversión de fracción en el exponente radical | Pregunta 2 (Paso 1): Se multiplicó el índice por la potencia | Pregunta 2 (Paso 2): Resta incorrecta en el exponente fraccionario (5/3 - 1) | Pregunta 2 (Paso 2): Falta derivar el término logarítmico | Pregunta 3 (Paso 2): Error de signo: suma en lugar de resta en el numerador del cociente | Pregunta 3 (Paso 3): Cambio incorrecto del signo negativo al pasar el exponente al denominador</t>
  </si>
  <si>
    <t>Fugas: 7 vez/veces | Detalle: Salió 2 seg (a las 03:12:36 p. m.) - Salió 2 seg (a las 03:13:29 p. m.) - Salió 5 seg (a las 03:13:47 p. m.) - Salió 3 seg (a las 03:14:01 p. m.) - Salió 2 seg (a las 03:16:11 p. m.) - Salió 4 seg (a las 03:18:04 p. m.) - Salió 2 seg (a las 03:18:09 p. m.)</t>
  </si>
  <si>
    <t>Diagnóstico: Pregunta 1 (Paso 2): Error de fórmula: resta en lugar de suma en la regla del producto | Pregunta 1 (Paso 3): Cambio incorrecto de signo al pasar x^{-3} al denominador | Pregunta 2 (Paso 1): Suma de coeficiente y exponente en lugar de multiplicación | Pregunta 2 (Paso 1): Error al derivar el exponente negativo en v(x) (-3 - 1 = -4) | Pregunta 2 (Paso 2): Derivación directa de numerador sobre denominador sin regla de cociente | Pregunta 3 (Paso 2): Error de fórmula: resta en lugar de suma en la regla del producto | P1: Pregunta 1: Completada | Fallos en este ejercicio: 2 (Pregunta 1 (Paso 2): Error de fórmula: resta en lugar de suma en la regla del producto ; Pregunta 1 (Paso 3): Cambio incorrecto de signo al pasar x^{-3} al denominador) | P2: Pregunta 2: Completada | Fallos en este ejercicio: 3 (Pregunta 2 (Paso 1): Suma de coeficiente y exponente en lugar de multiplicación ; Pregunta 2 (Paso 1): Error al derivar el exponente negativo en v(x) (-3 - 1 = -4) ; Pregunta 2 (Paso 2): Derivación directa de numerador sobre denominador sin regla de cociente) | P3: Pregunta 3: Completada | Fallos en este ejercicio: 1 (Pregunta 3 (Paso 2): Error de fórmula: resta en lugar de suma en la regla del producto)</t>
  </si>
  <si>
    <t>{"0":"Pregunta 1: Completada | Fallos en este ejercicio: 2 (Pregunta 1 (Paso 2): Error de fórmula: resta en lugar de suma en la regla del producto ; Pregunta 1 (Paso 3): Cambio incorrecto de signo al pasar x^{-3} al denominador)","1":"Pregunta 2: Completada | Fallos en este ejercicio: 3 (Pregunta 2 (Paso 1): Suma de coeficiente y exponente en lugar de multiplicación ; Pregunta 2 (Paso 1): Error al derivar el exponente negativo en v(x) (-3 - 1 = -4) ; Pregunta 2 (Paso 2): Derivación directa de numerador sobre denominador sin regla de cociente)","2":"Pregunta 3: Completada | Fallos en este ejercicio: 1 (Pregunta 3 (Paso 2): Error de fórmula: resta en lugar de suma en la regla del producto)"}</t>
  </si>
  <si>
    <t>Fugas: 4 vez/veces | Detalle: Salió 404 seg (a las 03:15:47 p.m.) - Salió 2 seg (a las 03:22:36 p.m.) - Salió 4 seg (a las 03:22:37 p.m.) - Salió 2 seg (a las 03:22:47 p.m.)</t>
  </si>
  <si>
    <t>Diagnóstico: Pregunta 1 (Paso 1): Error de signo al derivar el coseno (derivada de cos es -sin) | Pregunta 1 (Paso 2): Error de fórmula: resta en lugar de suma en la regla del producto | Pregunta 2 (Paso 1): Error de signo al derivar el coseno (derivada de cos es -sin) | Pregunta 2 (Paso 1): Error al restar 1 en el exponente negativo (-4 - 1 = -5) | Pregunta 2 (Paso 2): Derivación directa de factores sin aplicar regla del producto | Pregunta 2 (Paso 3): Olvido de elevar al cuadrado el radicando tras pasar exponente -2/3 a radical | Pregunta 3 (Paso 1): Se multiplicaron exponente e índice radical</t>
  </si>
  <si>
    <t>Diagnóstico: Pregunta 1 (Paso 1): Multiplicación indebida de potencia e índice | Pregunta 1 (Paso 1): Inversión de la fracción del radical | Pregunta 1 (Paso 2): Signo positivo en el exponente derivado (-6) | Pregunta 2 (Paso 1): Multiplicación indebida de potencia e índice | Pregunta 2 (Paso 2): Falta derivar el logaritmo | Pregunta 2 (Paso 2): Signo positivo en el exponente derivado (-6) | Pregunta 2 (Paso 3): Regla de signos (-1/3 * -6) | Pregunta 2 (Paso 3): Inversión final de exponente radical (3/5) | Pregunta 3 (Paso 1): Error al derivar el exponente negativo en v(x) (-4 - 1 = -5) | Pregunta 3 (Paso 2): Derivación directa de numerador sobre denominador sin regla de cociente | Pregunta 3 (Paso 3): Cambio incorrecto del signo negativo al pasar el exponente al denominador | Pregunta 3 (Paso 3): Error de grado al reexpresar x^{-5} como denominador</t>
  </si>
  <si>
    <t>Diagnóstico: Pregunta 1 (Paso 3): Error de grado al reexpresar x^{-5} como denominador | Pregunta 1 (Paso 3): Cambio incorrecto del signo negativo al pasar el exponente al denominador | Pregunta 2 (Paso 3): Error de grado al reexpresar x^{-5} como denominador | Pregunta 2 (Paso 3): Cambio incorrecto del signo negativo al pasar el exponente al denominador | Pregunta 3 (Paso 1): Error al restar 1 en el exponente negativo (-3 - 1 = -4) | Pregunta 3 (Paso 1): Error de signo al derivar el coseno (derivada de cos es -sin) | Pregunta 3 (Paso 2): Error de fórmula: resta en lugar de suma en la regla del producto | Pregunta 3 (Paso 2): Derivación directa de factores sin aplicar regla del producto | Pregunta 3 (Paso 3): Cambio incorrecto de signo al pasar x^{-4} al denominador | Pregunta 3 (Paso 3): Olvido de elevar a la cuarta el radicando tras pasar exponente -4/5 a radical | P1: Pregunta 1: Completada | Fallos en este ejercicio: 2 (Pregunta 1 (Paso 3): Error de grado al reexpresar x^{-5} como denominador ; Pregunta 1 (Paso 3): Cambio incorrecto del signo negativo al pasar el exponente al denominador) | P2: Pregunta 2: Completada | Fallos en este ejercicio: 2 (Pregunta 2 (Paso 3): Error de grado al reexpresar x^{-5} como denominador ; Pregunta 2 (Paso 3): Cambio incorrecto del signo negativo al pasar el exponente al denominador) | P3: Pregunta 3: Completada | Fallos en este ejercicio: 6 (Pregunta 3 (Paso 1): Error al restar 1 en el exponente negativo (-3 - 1 = -4) ; Pregunta 3 (Paso 1): Error de signo al derivar el coseno (derivada de cos es -sin) ; Pregunta 3 (Paso 2): Error de fórmula: resta en lugar de suma en la regla del producto ; Pregunta 3 (Paso 2): Derivación directa de factores sin aplicar regla del producto ; Pregunta 3 (Paso 3): Cambio incorrecto de signo al pasar x^{-4} al denominador ; Pregunta 3 (Paso 3): Olvido de elevar a la cuarta el radicando tras pasar exponente -4/5 a radical)</t>
  </si>
  <si>
    <t>{"0":"Pregunta 1: Completada | Fallos en este ejercicio: 2 (Pregunta 1 (Paso 3): Error de grado al reexpresar x^{-5} como denominador ; Pregunta 1 (Paso 3): Cambio incorrecto del signo negativo al pasar el exponente al denominador)","1":"Pregunta 2: Completada | Fallos en este ejercicio: 2 (Pregunta 2 (Paso 3): Error de grado al reexpresar x^{-5} como denominador ; Pregunta 2 (Paso 3): Cambio incorrecto del signo negativo al pasar el exponente al denominador)","2":"Pregunta 3: Completada | Fallos en este ejercicio: 6 (Pregunta 3 (Paso 1): Error al restar 1 en el exponente negativo (-3 - 1 = -4) ; Pregunta 3 (Paso 1): Error de signo al derivar el coseno (derivada de cos es -sin) ; Pregunta 3 (Paso 2): Error de fórmula: resta en lugar de suma en la regla del producto ; Pregunta 3 (Paso 2): Derivación directa de factores sin aplicar regla del producto ; Pregunta 3 (Paso 3): Cambio incorrecto de signo al pasar x^{-4} al denominador ; Pregunta 3 (Paso 3): Olvido de elevar a la cuarta el radicando tras pasar exponente -4/5 a radical)"}</t>
  </si>
  <si>
    <t>Fugas: 6 vez/veces | Detalle: Salió 3 seg (a las 04:18:19 p. m.) - Salió 3 seg (a las 04:18:24 p. m.) - Salió 2 seg (a las 04:22:42 p. m.) - Salió 4 seg (a las 04:22:46 p. m.) - Salió 3 seg (a las 04:22:52 p. m.) - Salió 20 seg (a las 04:22:56 p. m.)</t>
  </si>
  <si>
    <t>Diagnóstico: Pregunta 1 (Paso 1): Conversión incorrecta de radical a exponente | Pregunta 1 (Paso 2): Resta equivocada al exponente (5/4 - 1 = 1/4) | Pregunta 2 (Paso 2): Derivación directa de numerador sobre denominador sin regla de cociente | Pregunta 3 (Paso 1): Conversión incorrecta de radical a exponente | Pregunta 3 (Paso 1): Inversión de exponente en la raíz | Pregunta 3 (Paso 3): Error de signo al simplificar el segundo término</t>
  </si>
  <si>
    <t>{"0":"Completado","1":"Pregunta 2: Completada | Fallos en este ejercicio: 1 (Pregunta 2 (Paso 2): Derivación directa de numerador sobre denominador sin regla de cociente)","2":"Completado"}</t>
  </si>
  <si>
    <t>Fugas: 3 vez/veces | Detalle: Salió 18 seg (a las 04:21:54 p.m.) - Salió 12 seg (a las 04:22:50 p.m.) - Salió 2 seg (a las 04:23:04 p.m.)</t>
  </si>
  <si>
    <t>Diagnóstico: Pregunta 1 (Paso 1): Error al restar 1 en el exponente negativo (-2 - 1 = -3) | Pregunta 1 (Paso 1): Error de signo al derivar el coseno (derivada de cos es -sin) | Pregunta 1 (Paso 2): Derivación directa de factores sin aplicar regla del producto | Pregunta 1 (Paso 2): Error de fórmula: resta en lugar de suma en la regla del producto | Pregunta 1 (Paso 3): Olvido de elevar a la cuarta el radicando tras pasar exponente -4/5 a radical | Pregunta 2 (Paso 1): Error al derivar el exponente negativo en v(x) (-4 - 1 = -5) | Pregunta 3 (Paso 1): Inversión de fracción en el exponente radical | Pregunta 3 (Paso 1): Se multiplicó el índice por la potencia | Pregunta 3 (Paso 3): Multiplicación incorrecta de signos (-1/2 * -6) | Pregunta 3 (Paso 3): Se bajó un exponente positivo (2/3) al denominador | P2: Pregunta 2: Completada | Fallos en este ejercicio: 1 (Pregunta 2 (Paso 1): Error al derivar el exponente negativo en v(x) (-4 - 1 = -5))</t>
  </si>
  <si>
    <t>{"0":"Completado","1":"Pregunta 2: Completada | Fallos en este ejercicio: 1 (Pregunta 2 (Paso 1): Error al derivar el exponente negativo en v(x) (-4 - 1 = -5))","2":"Completado"}</t>
  </si>
  <si>
    <t>Fugas: 6 vez/veces | Detalle: Salió 31 seg (a las 16:21:00) - Salió 11 seg (a las 16:22:08) - Salió 2 seg (a las 16:22:55) - Salió 4 seg (a las 16:23:01) - Salió 6 seg (a las 16:23:06) - Salió 11 seg (a las 16:23:23)</t>
  </si>
  <si>
    <t>Diagnóstico: Pregunta 1 (Paso 1): Inversión de la fracción del radical | Pregunta 1 (Paso 2): Signo positivo en el exponente derivado (-6) | Pregunta 1 (Paso 3): Regla de signos (-1/3 * -6) | Pregunta 2 (Paso 2): Derivación directa de numerador sobre denominador sin regla de cociente | Pregunta 2 (Paso 3): Error de grado al reexpresar x^{-6} como denominador | Pregunta 3 (Paso 1): Inversión de la fracción del radical | Pregunta 3 (Paso 3): Regla de signos (-1/3 * -6) | Pregunta 3 (Paso 3): Inversión final de exponente radical (3/5) | P2: Pregunta 2: Completada | Fallos en este ejercicio: 2 (Pregunta 2 (Paso 2): Derivación directa de numerador sobre denominador sin regla de cociente ; Pregunta 2 (Paso 3): Error de grado al reexpresar x^{-6} como denominador)</t>
  </si>
  <si>
    <t>{"0":"Completado","1":"Pregunta 2: Completada | Fallos en este ejercicio: 2 (Pregunta 2 (Paso 2): Derivación directa de numerador sobre denominador sin regla de cociente ; Pregunta 2 (Paso 3): Error de grado al reexpresar x^{-6} como denominador)","2":"Completado"}</t>
  </si>
  <si>
    <t>Fugas: 8 vez/veces | Detalle: Salió 2 seg (a las 04:18:02 p.m.) - Salió 2 seg (a las 04:21:22 p.m.) - Salió 3 seg (a las 04:21:57 p.m.) - Salió 3 seg (a las 04:22:24 p.m.) - Salió 37 seg (a las 04:22:46 p.m.) - Salió 33 seg (a las 04:23:33 p.m.) - Salió 31 seg (a las 04:24:12 p.m.) - Salió 2 seg (a las 04:25:00 p.m.)</t>
  </si>
  <si>
    <t>Diagnóstico: Pregunta 1 (Paso 1): Exponente entero erróneo | Pregunta 1 (Paso 2): Resta incorrecta en exponente fraccionario | Pregunta 1 (Paso 2): Derivada incorrecta del logaritmo | Pregunta 1 (Paso 3): Exponente positivo trasladado al denominador | Pregunta 2 (Paso 1): Error al restar 1 en el exponente negativo (-3 - 1 = -4) | Pregunta 2 (Paso 3): Olvido de elevar al cuadrado el radicando tras pasar exponente -2/3 a radical | Pregunta 3 (Paso 1): Error al derivar el exponente negativo en v(x) (-3 - 1 = -4) | Pregunta 3 (Paso 1): Suma de coeficiente y exponente en lugar de multiplicación | Pregunta 3 (Paso 3): Cambio incorrecto del signo negativo al pasar el exponente al denominador | Pregunta 3 (Paso 3): Error de grado al reexpresar x^{-4} como denominador</t>
  </si>
  <si>
    <t>{"0":"Pregunta 1: Completada | Fallos en este ejercicio: 4 (Pregunta 1 (Paso 1): Exponente entero erróneo ; Pregunta 1 (Paso 2): Resta incorrecta en exponente fraccionario ; Pregunta 1 (Paso 2): Derivada incorrecta del logaritmo ; Pregunta 1 (Paso 3): Exponente positivo trasladado al denominador)","1":"Completado","2":"Completado"}</t>
  </si>
  <si>
    <t>Fugas: 5 vez/veces | Detalle: Salió 17 seg (a las 04:21:20 p.m.) - Salió 2 seg (a las 04:22:17 p.m.) - Salió 5 seg (a las 04:22:24 p.m.) - Salió 6 seg (a las 04:25:25 p.m.) - Salió 8 seg (a las 04:25:32 p.m.)</t>
  </si>
  <si>
    <t>Diagnóstico: Pregunta 1 (Paso 1): Error al restar 1 en el exponente negativo (-3 - 1 = -4) | Pregunta 1 (Paso 2): Error de fórmula: resta en lugar de suma en la regla del producto | Pregunta 2 (Paso 1): Error de signo al derivar el coseno (derivada de cos es -sin) | Pregunta 2 (Paso 3): Olvido de elevar a la cuarta el radicando tras pasar exponente -4/5 a radical | Pregunta 3 (Paso 1): Suma de coeficiente y exponente en lugar de multiplicación | Pregunta 3 (Paso 2): Derivación directa de numerador sobre denominador sin regla de cociente | Pregunta 3 (Paso 3): Cambio incorrecto del signo negativo al pasar el exponente al denominador | Pregunta 3 (Paso 3): Error de grado al reexpresar x^{-3} como denominador | P1: Pregunta 1: Completada | Fallos en este ejercicio: 2 (Pregunta 1 (Paso 1): Error al restar 1 en el exponente negativo (-3 - 1 = -4) ; Pregunta 1 (Paso 2): Error de fórmula: resta en lugar de suma en la regla del producto)</t>
  </si>
  <si>
    <t>{"0":"Pregunta 1: Completada | Fallos en este ejercicio: 2 (Pregunta 1 (Paso 1): Error al restar 1 en el exponente negativo (-3 - 1 = -4) ; Pregunta 1 (Paso 2): Error de fórmula: resta en lugar de suma en la regla del producto)","1":"Completado","2":"Completado"}</t>
  </si>
  <si>
    <t>Diagnóstico: Pregunta 1 (Paso 2): Derivación directa de numerador sobre denominador sin regla de cociente | Pregunta 1 (Paso 3): Cambio incorrecto del signo negativo al pasar el exponente al denominador | Pregunta 3 (Paso 1): Error de signo al derivar el coseno (derivada de cos es -sin) | Pregunta 3 (Paso 2): Error de fórmula: resta en lugar de suma en la regla del producto | Pregunta 3 (Paso 3): Olvido de elevar al cuadrado el radicando tras pasar exponente -2/3 a radical | Pregunta 3 (Paso 3): Cambio incorrecto de signo al pasar x^{-4} al denominador | P3: Pregunta 3: Completada | Fallos en este ejercicio: 4 (Pregunta 3 (Paso 1): Error de signo al derivar el coseno (derivada de cos es -sin) ; Pregunta 3 (Paso 2): Error de fórmula: resta en lugar de suma en la regla del producto ; Pregunta 3 (Paso 3): Olvido de elevar al cuadrado el radicando tras pasar exponente -2/3 a radical ; Pregunta 3 (Paso 3): Cambio incorrecto de signo al pasar x^{-4} al denominador)</t>
  </si>
  <si>
    <t>{"0":"Pregunta 1: Completada | Fallos en este ejercicio: 2 (Pregunta 1 (Paso 2): Derivación directa de numerador sobre denominador sin regla de cociente ; Pregunta 1 (Paso 3): Cambio incorrecto del signo negativo al pasar el exponente al denominador)","1":"Pregunta 2: Completada | Fallos en este ejercicio: 0 (Sin errores)","2":"Pregunta 3: Completada | Fallos en este ejercicio: 4 (Pregunta 3 (Paso 1): Error de signo al derivar el coseno (derivada de cos es -sin) ; Pregunta 3 (Paso 2): Error de fórmula: resta en lugar de suma en la regla del producto ; Pregunta 3 (Paso 3): Olvido de elevar al cuadrado el radicando tras pasar exponente -2/3 a radical ; Pregunta 3 (Paso 3): Cambio incorrecto de signo al pasar x^{-4} al denominador)"}</t>
  </si>
  <si>
    <t>Diagnóstico: Pregunta 1 (Paso 1): Prepositions like "before" must be followed by a verb in the -ing form (gerund) | Pregunta 1 (Paso 1): Past tense cannot be used directly after a preposition | Pregunta 1 (Paso 2): The verb "avoid" is followed by a gerund (-ing), not an infinitive with "to" | Pregunta 1 (Paso 2): "Avoid" requires a gerund (-ing) when connecting to another action | Pregunta 1 (Paso 3): Prepositions require gerunds (-ing) and "avoid" is followed by -ing, not "to" | Pregunta 1 (Paso 3): "Avoid" must be followed by a gerund (generating)</t>
  </si>
  <si>
    <t>{"0":"Pregunta 1: Completada | Fallos en este ejercicio: 6 (Pregunta 1 (Paso 1): Prepositions like \"before\" must be followed by a verb in the -ing form (gerund) ; Pregunta 1 (Paso 1): Past tense cannot be used directly after a preposition ; Pregunta 1 (Paso 2): The verb \"avoid\" is followed by a gerund (-ing), not an infinitive with \"to\" ; Pregunta 1 (Paso 2): \"Avoid\" requires a gerund (-ing) when connecting to another action ; Pregunta 1 (Paso 3): Prepositions require gerunds (-ing) and \"avoid\" is followed by -ing, not \"to\" ; Pregunta 1 (Paso 3): \"Avoid\" must be followed by a gerund (generating))"}</t>
  </si>
  <si>
    <t>Diagnóstico: Pregunta 1 (Paso 1): Prepositions like "before" must be followed by a verb in the -ing form (gerund) | Pregunta 1 (Paso 1): Past tense cannot be used directly after a preposition | Pregunta 1 (Paso 3): Prepositions require gerunds (-ing) and "avoid" is followed by -ing, not "to" | Pregunta 1 (Paso 3): "Avoid" must be followed by a gerund (generating)</t>
  </si>
  <si>
    <t>{"0":"Pregunta 1: Completada | Fallos en este ejercicio: 4 (Pregunta 1 (Paso 1): Prepositions like \"before\" must be followed by a verb in the -ing form (gerund) ; Pregunta 1 (Paso 1): Past tense cannot be used directly after a preposition ; Pregunta 1 (Paso 3): Prepositions require gerunds (-ing) and \"avoid\" is followed by -ing, not \"to\" ; Pregunta 1 (Paso 3): \"Avoid\" must be followed by a gerund (generating))"}</t>
  </si>
  <si>
    <t>Fugas: 4 vez/veces | Detalle: Salió 19 seg (a las 09:39:03) - Salió 11 seg (a las 09:40:23) - Salió 2 seg (a las 09:40:39) - Salió 3 seg (a las 09:41:47)</t>
  </si>
  <si>
    <t>Diagnóstico: Pregunta 1 (Paso 3): Exponente positivo trasladado al denominador | Pregunta 1 (Paso 3): Error de signo al multiplicar coeficientes | Pregunta 2 (Paso 1): Error al restar 1 en el exponente negativo (-4 - 1 = -5) | Pregunta 2 (Paso 2): Error de fórmula: resta en lugar de suma en la regla del producto | Pregunta 2 (Paso 3): Cambio incorrecto de signo al pasar x^{-5} al denominador | Pregunta 3 (Paso 1): Suma de coeficiente y exponente en lugar de multiplicación | Pregunta 3 (Paso 1): Error al derivar el exponente negativo en v(x) (-2 - 1 = -3) | Pregunta 3 (Paso 2): Derivación directa de numerador sobre denominador sin regla de cociente | Pregunta 3 (Paso 2): Error de signo: suma en lugar de resta en el numerador del cociente | Pregunta 3 (Paso 3): Cambio incorrecto del signo negativo al pasar el exponente al denominador | Pregunta 3 (Paso 3): Error de grado al reexpresar x^{-3} como denominador | P1: Pregunta 1: Completada | Fallos en este ejercicio: 2 (Pregunta 1 (Paso 3): Exponente positivo trasladado al denominador ; Pregunta 1 (Paso 3): Error de signo al multiplicar coeficientes)</t>
  </si>
  <si>
    <t>{"0":"Pregunta 1: Completada | Fallos en este ejercicio: 2 (Pregunta 1 (Paso 3): Exponente positivo trasladado al denominador ; Pregunta 1 (Paso 3): Error de signo al multiplicar coeficientes)","1":"Completado","2":"Completado"}</t>
  </si>
  <si>
    <t>Diagnóstico: Pregunta 1 (Paso 1): Error de signo al derivar el coseno (derivada de cos es -sin) | Pregunta 1 (Paso 1): Error al restar 1 en el exponente negativo (-3 - 1 = -4) | Pregunta 1 (Paso 2): Derivación directa de factores sin aplicar regla del producto | Pregunta 1 (Paso 2): Error de fórmula: resta en lugar de suma en la regla del producto | Pregunta 1 (Paso 3): Olvido de elevar al cuadrado el radicando tras pasar exponente -2/3 a radical | Pregunta 1 (Paso 3): Cambio incorrecto de signo al pasar x^{-4} al denominador | Pregunta 2 (Paso 1): Error al derivar el exponente negativo en v(x) (-3 - 1 = -4) | Pregunta 2 (Paso 2): Error de signo: suma en lugar de resta en el numerador del cociente | Pregunta 3 (Paso 3): Exponente positivo trasladado al denominador | Pregunta 3 (Paso 3): Error de signo al multiplicar coeficientes | P2: Pregunta 2: Completada | Fallos en este ejercicio: 2 (Pregunta 2 (Paso 1): Error al derivar el exponente negativo en v(x) (-3 - 1 = -4) ; Pregunta 2 (Paso 2): Error de signo: suma en lugar de resta en el numerador del cociente)</t>
  </si>
  <si>
    <t>{"0":"Completado","1":"Pregunta 2: Completada | Fallos en este ejercicio: 2 (Pregunta 2 (Paso 1): Error al derivar el exponente negativo en v(x) (-3 - 1 = -4) ; Pregunta 2 (Paso 2): Error de signo: suma en lugar de resta en el numerador del cociente)","2":"Completado"}</t>
  </si>
  <si>
    <t>N°</t>
  </si>
  <si>
    <t>Apeliido y Nombre</t>
  </si>
  <si>
    <t>1/U1</t>
  </si>
  <si>
    <t>2/U1</t>
  </si>
  <si>
    <t>3/U1</t>
  </si>
  <si>
    <t>4/U1</t>
  </si>
  <si>
    <t>5/U1</t>
  </si>
  <si>
    <t>6/U1</t>
  </si>
  <si>
    <t>7/U1</t>
  </si>
  <si>
    <t>8/U1</t>
  </si>
  <si>
    <t>9/U1</t>
  </si>
  <si>
    <t>10/U1</t>
  </si>
  <si>
    <t>11/U1</t>
  </si>
  <si>
    <t>12/U1</t>
  </si>
  <si>
    <t>13/U1</t>
  </si>
  <si>
    <t>14/U1</t>
  </si>
  <si>
    <t>1/U2</t>
  </si>
  <si>
    <t>2/U2</t>
  </si>
  <si>
    <t>3/U2</t>
  </si>
  <si>
    <t>4/U2</t>
  </si>
  <si>
    <t>5/U2</t>
  </si>
  <si>
    <t>6/U2</t>
  </si>
  <si>
    <t>7/U2</t>
  </si>
  <si>
    <t>1/U3</t>
  </si>
  <si>
    <t>2/U3</t>
  </si>
  <si>
    <t>3/U3</t>
  </si>
  <si>
    <t>4/U3</t>
  </si>
  <si>
    <t>🖼️ Instrucciones para Imágenes de Google Drive</t>
  </si>
  <si>
    <t xml:space="preserve">ApiKey de Groq para 4° y 6° ==&gt; </t>
  </si>
  <si>
    <t>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</t>
  </si>
  <si>
    <t>Como tu sistema corre en la web, no puede "entrar" a ver tus archivos de Drive con el link normal. Necesitamos engañarlo dándole un Link de Acceso Directo.</t>
  </si>
  <si>
    <t>1. Preparar el archivo en Drive</t>
  </si>
  <si>
    <t>Sube la imagen a tu Google Drive.</t>
  </si>
  <si>
    <t>Clic derecho -&gt; Compartir -&gt; Cambiar a "Cualquier persona con el enlace" (como Lector).</t>
  </si>
  <si>
    <t>Copia el enlace. Se verá algo como esto: https://drive.google.com/file/d/1A2B3C4D5E6F7G8H9I0J/view?usp=sharing</t>
  </si>
  <si>
    <t>2. Extraer el ID</t>
  </si>
  <si>
    <t>El ID es el código largo entre las barras /d/ y /view.</t>
  </si>
  <si>
    <t>En el ejemplo anterior, el ID es: 1A2B3C4D5E6F7G8H9I0J</t>
  </si>
  <si>
    <t>3. Crear el Link para la Planilla</t>
  </si>
  <si>
    <t>Pega ese ID al final de esta estructura fija: https://lh3.googleusercontent.com/u/0/d/EL_ID_DE_TU_ARCHIVO</t>
  </si>
  <si>
    <t>Ejemplo final: https://lh3.googleusercontent.com/u/0/d/EL_ID_DE_TU_ARCHIVO</t>
  </si>
  <si>
    <t>Tip: Ese link final es el que debes pegar en la Columna K, L o M de tu planilla de cálculo. Si usas VI, RM o CV, recuerda que puedes separar varios de estos links con la triple coma ,,,.</t>
  </si>
  <si>
    <t>Especialista</t>
  </si>
  <si>
    <t>Formatos y Recursos Soportados</t>
  </si>
  <si>
    <t>Función backend (.gs)</t>
  </si>
  <si>
    <t>Tipo / Dinámica</t>
  </si>
  <si>
    <t>¿Para qué se usa?</t>
  </si>
  <si>
    <t>Columna K (Enunciado)</t>
  </si>
  <si>
    <t>Columna L (Opciones / Config)</t>
  </si>
  <si>
    <t>Columna M (Respuesta Correcta)</t>
  </si>
  <si>
    <t>Separador Especial</t>
  </si>
  <si>
    <t>Instrucciones de Carga en Excel</t>
  </si>
  <si>
    <t>VF</t>
  </si>
  <si>
    <t>Texto, LaTeX</t>
  </si>
  <si>
    <t>procesarModular_VF</t>
  </si>
  <si>
    <t>Verdadero / Falso</t>
  </si>
  <si>
    <t>Confirmar si una afirmación matemática o física es verdadera o falsa.</t>
  </si>
  <si>
    <t>Texto/Fórmula de la afirmación</t>
  </si>
  <si>
    <t>(Vacío)</t>
  </si>
  <si>
    <t>VERDADERO o FALSO</t>
  </si>
  <si>
    <t>No aplica</t>
  </si>
  <si>
    <t>En Columna M escribir exactamente VERDADERO o FALSO.</t>
  </si>
  <si>
    <t>procesarModular_OM</t>
  </si>
  <si>
    <t>Opción Múltiple</t>
  </si>
  <si>
    <t>Elegir una única opción correcta entre varias alternativas de texto o fórmulas.</t>
  </si>
  <si>
    <t>Consigna o pregunta</t>
  </si>
  <si>
    <t>Opciones de respuesta</t>
  </si>
  <si>
    <t>Texto exacto de la opción correcta</t>
  </si>
  <si>
    <t>,,,</t>
  </si>
  <si>
    <t>Separá cada opción en Columna L con ,,,. La Columna M debe coincidir exactamente con una de ellas.</t>
  </si>
  <si>
    <t>CA</t>
  </si>
  <si>
    <t>Texto, Números, LaTeX</t>
  </si>
  <si>
    <t>procesarModular_CA</t>
  </si>
  <si>
    <t>Completar / Abierta</t>
  </si>
  <si>
    <t>Ingresar un resultado numérico, fórmula o expresión mediante teclado.</t>
  </si>
  <si>
    <t>Consigna o problema a resolver</t>
  </si>
  <si>
    <t>Valor o fórmula esperada</t>
  </si>
  <si>
    <t>Cargar en Columna M el valor numérico o la expresión exacta que el alumno debe ingresar.</t>
  </si>
  <si>
    <t>BALANZA</t>
  </si>
  <si>
    <t>Gráfico interactivo (SVG/HTML), Ecuaciones</t>
  </si>
  <si>
    <t>procesarModular_Balanza</t>
  </si>
  <si>
    <t>Balanza Interactiva</t>
  </si>
  <si>
    <t>Visualizar y resolver ecuaciones de primer grado mediante masa y equilibrio.</t>
  </si>
  <si>
    <t>Consigna de la ecuación</t>
  </si>
  <si>
    <t>Expresión de la balanza (Ej: 2x+3=7)</t>
  </si>
  <si>
    <t>Valor numérico de X (Ej: 2)</t>
  </si>
  <si>
    <t>"="</t>
  </si>
  <si>
    <t>En Columna L cargar la ecuación completa. En Columna M el valor numérico resuelto de X.</t>
  </si>
  <si>
    <t>RM</t>
  </si>
  <si>
    <t>Texto, LaTeX, Imágenes (Links/URLs)</t>
  </si>
  <si>
    <t>procesarModular_RM</t>
  </si>
  <si>
    <t>Tarjetas / Relacionar</t>
  </si>
  <si>
    <t>Unir o emparejar conceptos, imágenes o fórmulas con sus respuestas.</t>
  </si>
  <si>
    <t>Consigna de la actividad</t>
  </si>
  <si>
    <t>Lista de elementos/conceptos</t>
  </si>
  <si>
    <t>Parejas o relaciones esperadas</t>
  </si>
  <si>
    <t>,,, o `</t>
  </si>
  <si>
    <t>"=&gt;"</t>
  </si>
  <si>
    <t>VI</t>
  </si>
  <si>
    <t>Imágenes exclusivamente (URLs / Links)</t>
  </si>
  <si>
    <t>procesarModular_VI</t>
  </si>
  <si>
    <t>Visual / Imágenes</t>
  </si>
  <si>
    <t>Identificar gráficos, esquemas o figuras seleccionando una imagen entre varias.</t>
  </si>
  <si>
    <t>URL de la imagen principal (Consigna)</t>
  </si>
  <si>
    <t>URLs de las imágenes de opción</t>
  </si>
  <si>
    <t>URL exacta de la imagen correcta</t>
  </si>
  <si>
    <t>Colocar los links/URLs de imágenes de Google Drive o web en Columna L separados por ,,,.</t>
  </si>
  <si>
    <t>CV</t>
  </si>
  <si>
    <t>procesarModular_CV</t>
  </si>
  <si>
    <t>Checklist / Varias</t>
  </si>
  <si>
    <t>Seleccionar múltiples opciones correctas mediante casillas de verificación.</t>
  </si>
  <si>
    <t>Consigna (Ej: "Seleccioná las correctas")</t>
  </si>
  <si>
    <t>Lista de todas las opciones posibles</t>
  </si>
  <si>
    <t>Lista de las opciones correctas</t>
  </si>
  <si>
    <t>Tanto en Columna L como en Columna M, separá las opciones con ,,,.</t>
  </si>
  <si>
    <t>EM</t>
  </si>
  <si>
    <t>procesarModular_EM</t>
  </si>
  <si>
    <t>Emparejamiento / Flechas</t>
  </si>
  <si>
    <t>Relacionar elementos de la izquierda con desplegables a la derecha (soporta LaTeX).</t>
  </si>
  <si>
    <t>Consigna o instrucciones</t>
  </si>
  <si>
    <t>Pares de correspondencia</t>
  </si>
  <si>
    <t>(Incluido en Columna L)</t>
  </si>
  <si>
    <t>,,, y `</t>
  </si>
  <si>
    <t>PC1</t>
  </si>
  <si>
    <t>Canvas interactivo (Gráfico de Plano)</t>
  </si>
  <si>
    <t>procesarModular_PC1</t>
  </si>
  <si>
    <t>Plano Cartesiano</t>
  </si>
  <si>
    <t>Hacer clic interactivo sobre un plano cartesiano $X;Y$ interactivo.</t>
  </si>
  <si>
    <t>Consigna (Ej: "Ubicá el punto (3,-2)")</t>
  </si>
  <si>
    <t>Coordenada estandarizada: X;Y</t>
  </si>
  <si>
    <t>;</t>
  </si>
  <si>
    <t>En Columna M cargar las coordenadas separadas por punto y coma sin espacios, por ejemplo: 3;-2.</t>
  </si>
  <si>
    <t>FR1</t>
  </si>
  <si>
    <t>Números, Expresiones fraccionarias ($a/b$)</t>
  </si>
  <si>
    <t>procesarModular_FR1</t>
  </si>
  <si>
    <t>Fracciones Paso a Paso</t>
  </si>
  <si>
    <t>Guiar la resolución paso a paso de fracciones (m.c.m. e inputs de resultado).</t>
  </si>
  <si>
    <t>Consigna de la operación</t>
  </si>
  <si>
    <t>Configuración (Ej: SUMA,,,mcm:12)</t>
  </si>
  <si>
    <t>Fracción simplificada (Ej: 3/4)</t>
  </si>
  <si>
    <t>,,, y :</t>
  </si>
  <si>
    <t>En Columna L definir la operación y pasos con ,,, y :. En Columna M la fracción final a/b.</t>
  </si>
  <si>
    <t>PROMPT PARA BALANZA</t>
  </si>
  <si>
    <t>Actúa como un creador experto de contenido educativo para la plataforma Balanza. Tu tarea es generar ejercicios de matemática interactivos siguiendo la estructura técnica y pedagógica exacta que requiere la plataforma para su carga directa en Excel.</t>
  </si>
  <si>
    <t>### REGLAS DE FORMATO OBLIGATORIAS:</t>
  </si>
  <si>
    <t>1. ESTRUCTURA DE SALIDA:</t>
  </si>
  <si>
    <t>Debes entregar la respuesta dividida estricta y exclusivamente en tres bloques formateados como código (Plaintext) para copiar y pegar directo en Excel:</t>
  </si>
  <si>
    <t>- Celda K</t>
  </si>
  <si>
    <t>- Celda L</t>
  </si>
  <si>
    <t>- Celda M</t>
  </si>
  <si>
    <t>2. DELIMITADORES Y NOTACIÓN:</t>
  </si>
  <si>
    <t>- Separa las descripciones del flujo de la consigna con tres comas: `,,,`</t>
  </si>
  <si>
    <t>- Separa los pasos en la Celda L con tres comas: `,,,`</t>
  </si>
  <si>
    <t>- Separa las opciones/distractores de cada paso con punto y coma: `;`</t>
  </si>
  <si>
    <t>- Marca SIEMPRE la opción correcta con un asterisco al inicio: `*`</t>
  </si>
  <si>
    <t>- Usa COMA decimal `,` en lugar de punto para números decimales.</t>
  </si>
  <si>
    <t>- NOTACIÓN MATEMÁTICA: Para despejes o soluciones de potencias pares/raíces, está PROHIBIDO usar el símbolo ±. Utiliza ÚNICAMENTE la propiedad del módulo/valor absoluto (ejemplo: $|x| = 1$).</t>
  </si>
  <si>
    <t>- FRACCIONES COMPLEJAS Y DIVISIÓN: Para representar divisiones donde el dividendo es una fracción y el divisor un entero (ejemplo: $\frac{1}{5} : 4$), debes escribirlo siempre como una fracción compleja en LaTeX utilizando `\frac{\frac{a}{b}}{c}` para que visualmente quede alineado sobre la barra principal.</t>
  </si>
  <si>
    <t>3. REGLAS DE CELDAS:</t>
  </si>
  <si>
    <t>- Celda K (Consigna y guía paso a paso): Contiene la consigna del ejercicio en LaTeX ($...$) seguida de la guía textual de los pasos.</t>
  </si>
  <si>
    <t>  * PISTAS Y TEXTO DE PASOS: Usa descripciones breves, genéricas y ultra sintéticas (máximo 1 a 3 palabras por paso, por ejemplo: "Igualamos", "Operamos", "Obtenemos límites", "Planteamos integral", "Simplificamos", "Integramos", "Evaluamos", "Calculamos"). Está PROHIBIDO detallar operaciones específicas dentro de los pasos de la Celda K (no indiques operaciones detalladas como "Sumamos x^2 a ambos lados", "Restamos 1", "Evaluamos en x = 5", etc.).</t>
  </si>
  <si>
    <t>  * Al final del flujo de pasos, añade dos comas `,,` y el resultado final simplificado.</t>
  </si>
  <si>
    <t>- Celda L (Opciones paso a paso): Contiene las opciones de cada paso. En cada paso debe haber 1 opción correcta (con `*`) y 2 distractores verosímiles separados por `;`. Los grupos de opciones se separan entre sí con `,,,`.</t>
  </si>
  <si>
    <t>- Celda M (Resultado Final): Contiene únicamente la respuesta o valor final definitivo.</t>
  </si>
  <si>
    <t>La última pantalla de la celda K, donde esta el resultado final debe ser texto plano.</t>
  </si>
  <si>
    <t>---</t>
  </si>
  <si>
    <t>### EJEMPLO DE REFERENCIA:</t>
  </si>
  <si>
    <t>Consigna: Calcular el área encerrada entre las curvas: $y = x^2 + 1 \wedge y = -x^2 + 3$</t>
  </si>
  <si>
    <t>Actúa como un experto en didáctica de la matemática y programador de contenido para plataformas educativas. Tu tarea es generar [CANTIDAD, ej: 3] variantes del ejercicio de matemáticas que te describiré a continuación, siguiendo ESTRICTAMENTE el formato de delimitadores y columnas que requiere mi motor de evaluación ("EXAMEN").</t>
  </si>
  <si>
    <t>### 🎯 OBJETIVO PEDAGÓGICO</t>
  </si>
  <si>
    <t>- Tema: [INSERTAR TEMA, ej: Recta tangente y normal a una función polinómica]</t>
  </si>
  <si>
    <t>- Plantilla/Función base: [INSERTAR PLANTILLA, ej: f(x) = b*x^n + c*x + d en x = a]</t>
  </si>
  <si>
    <t>- Dificultad y Criterio: Los resultados intermedios y finales DEBEN ser números enteros sencillos o fracciones de denominador pequeño (2, 3, 4) para evitar la sobrecarga de cálculo mental. El foco principal debe ser la comprensión procedimental.</t>
  </si>
  <si>
    <t>### 📐 REGLAS ESTRICTAS DE FORMATO Y DELIMITADORES</t>
  </si>
  <si>
    <t>Celda K:</t>
  </si>
  <si>
    <t>Para cada variante, debes entregar el resultado estructurado en 3 columnas exactamente como se indica abajo:</t>
  </si>
  <si>
    <t>1. COLUMNA K (Enunciado + Pasos + Resultado):</t>
  </si>
  <si>
    <t>- Estructura: [Enunciado] : [Paso 1 sin número] ,,, [Paso 2 sin número] ,,, [Paso N sin número] ,,, [Resultado Final en LaTeX]</t>
  </si>
  <si>
    <t>- Usa DOS PUNTOS SIMPLES (:) para separar el enunciado del primer paso.</t>
  </si>
  <si>
    <t>- Usa TRIPLE COMA (,,,) para separar los pasos entre sí y para separar el último paso del resultado final.</t>
  </si>
  <si>
    <t>2. COLUMNA L (Opciones por Paso):</t>
  </si>
  <si>
    <t>- Cada paso contiene 3 opciones (1 correcta y 2 distractores).</t>
  </si>
  <si>
    <t>- La opción CORRECTA debe comenzar SIEMPRE con un asterisco (*) al inicio (ej: *$f(2) = 2$).</t>
  </si>
  <si>
    <t>Calcular el área encerrada entre las curvas: $$y = x^2 + 1 \wedge y = -x^2 + 3$$ : Igualamos ,,, Operamos ,,, Despejamos ,,, Expresamos en módulo ,,, Planteamos la integral ,,, Simplificamos ,,, Integramos ,,, Evaluamos ,,, Calculamos ,,, 8/3</t>
  </si>
  <si>
    <t>- Los distractores NO llevan asterisco y DEBEN incluir un mensaje de error pedagógico claro después de dos puntos (:) explicando el fallo conceptual cometido (ej: $f(2) = 6$ : Error en la evaluación de la función).</t>
  </si>
  <si>
    <t>- Opciones dentro del mismo paso se separan por punto y coma ';'.</t>
  </si>
  <si>
    <t>- Los pasos entre sí se separan por triple coma ',,,'.</t>
  </si>
  <si>
    <t>3. COLUMNA M (Solución en LaTeX para la UI):</t>
  </si>
  <si>
    <t>- Expresión final entre doble signo de peso: $$.</t>
  </si>
  <si>
    <t>### 📝 EJEMPLO DE REFERENCIA (Sigue este patrón exacto)</t>
  </si>
  <si>
    <t>Columna K:</t>
  </si>
  <si>
    <t>Hallar la recta tangente y normal a la función $f(x) = x^2 - 3x + 4$ en $x = 2$ : Evaluamos la imagen $f(2)$ y obtenemos la derivada $f'(x)$ ,,, Calculamos las pendientes tangente $m_T$ y normal $m_N$ ,,, Armamos las ecuaciones de la recta tangente $y_T$ y normal $y_N$ ,,, y_T = x \quad \text{y} \quad y_N = -x + 4</t>
  </si>
  <si>
    <t>Columna L:</t>
  </si>
  <si>
    <t>*$f(2) = 2$  y  $f'(x) = 2x - 3$ ; $f(2) = 6$  y  $f'(x) = 2x - 3$ : Error al evaluar $f(2)$ ; $f(2) = 2$  y  $f'(x) = 2x$ : Olvidaste derivar el término lineal -3x ,,, *$m_T = 1$  y  $m_N = -1$ ; $m_T = 1$  y  $m_N = 1$ : La pendiente normal debe ser opuesta e inversa ; $m_T = -3$  y  $m_N = 1/3$ : Evaluaste mal la derivada ,,, *$y_T = x$  y  $y_N = -x + 4$ ; $y_T = x - 2$  y  $y_N = -x + 2$ : Error al despejar punto-pendiente ; $y_T = x + 2$  y  $y_N = -x - 2$ : Error de signos al despejar</t>
  </si>
  <si>
    <t>Columna M:</t>
  </si>
  <si>
    <t>$$y_T = x \quad \text{y} \quad y_N = -x + 4$$</t>
  </si>
  <si>
    <t>Celda L:</t>
  </si>
  <si>
    <t>### 🚀 INSTRUCCIONES DE SALIDA</t>
  </si>
  <si>
    <t>Genera las variantes solicitadas formateadas en bloques de código limpios listos para copiar y pegar en Excel, separados claramente por "Variante 1", "Variante 2", etc.</t>
  </si>
  <si>
    <t>*$x^2 + 1 = -x^2 + 3$ ; $x^2 + 1 = x^2 - 3$ ; $x^2 - 1 = -x^2 + 3$ ,,, *$2x^2 + 1 = 3$ ; $2x^2 - 1 = 3$ ; $x^2 + 1 = 3$ ,,, *$x^2 = 1$ ; $x^2 = 2$ ; $x^2 = 0,5$ ,,, *$|x| = 1$ ; $|x| = 2$ ; $x = 1$ ,,, *$\int_{-1}^{1} ((-x^2 + 3) - (x^2 + 1)) \, dx$ ; $\int_{-1}^{1} ((x^2 + 1) - (-x^2 + 3)) \, dx$ ; $\int_{0}^{1} ((-x^2 + 3) - (x^2 + 1)) \, dx$ ,,, *$\int_{-1}^{1} (-2x^2 + 2) \, dx$ ; $\int_{-1}^{1} (2x^2 + 2) \, dx$ ; $\int_{-1}^{1} (-2x^2 + 4) \, dx$ ,,, *$\left[-\frac{2x^3}{3} + 2x\right]_{-1}^{1}$ ; $\left[-\frac{2x^3}{3} + x\right]_{-1}^{1}$ ; $\left[-2x^3 + 2x\right]_{-1}^{1}$ ,,, *$\frac{4}{3} - \left(-\frac{4}{3}\right)$ ; $\frac{8}{3} - \left(-\frac{8}{3}\right)$ ; $\frac{2}{3} - \left(-\frac{2}{3}\right)$ ,,, *$\frac{8}{3}$ ; $\frac{4}{3}$ ; $0$</t>
  </si>
  <si>
    <t>Celda M:</t>
  </si>
  <si>
    <t>Formato de entrega, una línea de código por cada celda.</t>
  </si>
  <si>
    <t>Luego Pasa cada paso de la celda L para que un humano lo entienda</t>
  </si>
  <si>
    <t>A partir de ahora, genera el ejercicio que te indique siguiendo estas reglas al pie de la letra.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</si>
</sst>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/m"/>
  </numFmts>
  <fonts count="1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u/>
      <color rgb="FF0000FF"/>
    </font>
    <font>
      <sz val="11.0"/>
      <color rgb="FF1F1F1F"/>
      <name val="Roboto"/>
    </font>
    <font>
      <color theme="1"/>
      <name val="&quot;Google Sans Text&quot;"/>
    </font>
    <font>
      <b/>
      <color theme="1"/>
      <name val="Arial"/>
      <scheme val="minor"/>
    </font>
    <font>
      <sz val="11.0"/>
      <color theme="1"/>
      <name val="Arial"/>
    </font>
    <font>
      <sz val="14.0"/>
      <color theme="1"/>
      <name val="Arial"/>
    </font>
    <font>
      <b/>
      <color theme="1"/>
      <name val="&quot;Google Sans Text&quot;"/>
    </font>
    <font>
      <i/>
      <color theme="1"/>
      <name val="&quot;Google Sans Text&quot;"/>
    </font>
    <font>
      <sz val="13.0"/>
      <color rgb="FF1F1F1F"/>
      <name val="&quot;Google Sans Flex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center" readingOrder="0" vertical="bottom"/>
    </xf>
    <xf borderId="0" fillId="0" fontId="2" numFmtId="0" xfId="0" applyAlignment="1" applyFont="1">
      <alignment horizontal="left" vertical="bottom"/>
    </xf>
    <xf borderId="0" fillId="0" fontId="3" numFmtId="164" xfId="0" applyAlignment="1" applyFont="1" applyNumberFormat="1">
      <alignment readingOrder="0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3" numFmtId="49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center"/>
    </xf>
    <xf borderId="0" fillId="0" fontId="2" numFmtId="0" xfId="0" applyAlignment="1" applyFont="1">
      <alignment horizontal="right" vertical="bottom"/>
    </xf>
    <xf borderId="0" fillId="0" fontId="5" numFmtId="0" xfId="0" applyAlignment="1" applyFont="1">
      <alignment readingOrder="0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right" readingOrder="0" vertical="bottom"/>
    </xf>
    <xf borderId="0" fillId="2" fontId="6" numFmtId="0" xfId="0" applyAlignment="1" applyFill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165" xfId="0" applyAlignment="1" applyFont="1" applyNumberFormat="1">
      <alignment horizontal="left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8" numFmtId="0" xfId="0" applyFont="1"/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11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0" fillId="0" fontId="3" numFmtId="165" xfId="0" applyAlignment="1" applyFont="1" applyNumberFormat="1">
      <alignment readingOrder="0"/>
    </xf>
    <xf borderId="1" fillId="0" fontId="7" numFmtId="0" xfId="0" applyBorder="1" applyFont="1"/>
    <xf borderId="0" fillId="0" fontId="13" numFmtId="0" xfId="0" applyAlignment="1" applyFont="1">
      <alignment readingOrder="0"/>
    </xf>
    <xf borderId="0" fillId="0" fontId="13" numFmtId="0" xfId="0" applyFont="1"/>
    <xf borderId="0" fillId="0" fontId="13" numFmtId="165" xfId="0" applyAlignment="1" applyFont="1" applyNumberFormat="1">
      <alignment readingOrder="0"/>
    </xf>
    <xf borderId="0" fillId="0" fontId="1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8.25"/>
    <col customWidth="1" min="3" max="3" width="8.75"/>
    <col customWidth="1" min="4" max="4" width="8.88"/>
    <col customWidth="1" min="5" max="5" width="13.13"/>
    <col customWidth="1" min="6" max="6" width="14.13"/>
    <col customWidth="1" min="7" max="7" width="21.0"/>
  </cols>
  <sheetData>
    <row r="1">
      <c r="A1" s="1" t="s">
        <v>0</v>
      </c>
      <c r="B1" s="3" t="s">
        <v>2</v>
      </c>
      <c r="C1" s="3" t="s">
        <v>4</v>
      </c>
      <c r="D1" s="6" t="s">
        <v>6</v>
      </c>
      <c r="E1" s="6" t="s">
        <v>8</v>
      </c>
      <c r="F1" s="6" t="s">
        <v>9</v>
      </c>
      <c r="G1" s="2" t="s">
        <v>10</v>
      </c>
    </row>
    <row r="2">
      <c r="A2" s="12" t="str">
        <f>IFERROR(__xludf.DUMMYFUNCTION("IMPORTRANGE(""1vTQCpaI7TnKgLfGHDN8100bn3gt_15lqLBMrPOMC7zk"",""Lista alumnos!A2:G"")"),"ALVAREZ, Abril Alejandra")</f>
        <v>ALVAREZ, Abril Alejandra</v>
      </c>
      <c r="B2" s="14" t="str">
        <f>IFERROR(__xludf.DUMMYFUNCTION("""COMPUTED_VALUE"""),"4")</f>
        <v>4</v>
      </c>
      <c r="C2" s="14" t="str">
        <f>IFERROR(__xludf.DUMMYFUNCTION("""COMPUTED_VALUE"""),"2")</f>
        <v>2</v>
      </c>
      <c r="D2" s="15" t="str">
        <f>IFERROR(__xludf.DUMMYFUNCTION("""COMPUTED_VALUE"""),"Mañana")</f>
        <v>Mañana</v>
      </c>
      <c r="E2" s="15" t="str">
        <f>IFERROR(__xludf.DUMMYFUNCTION("""COMPUTED_VALUE"""),"GADO")</f>
        <v>GADO</v>
      </c>
      <c r="F2" s="15" t="str">
        <f>IFERROR(__xludf.DUMMYFUNCTION("""COMPUTED_VALUE"""),"ET 24 DE 17")</f>
        <v>ET 24 DE 17</v>
      </c>
      <c r="G2" s="12" t="str">
        <f>IFERROR(__xludf.DUMMYFUNCTION("""COMPUTED_VALUE"""),"LLENOLIO, Claudio")</f>
        <v>LLENOLIO, Claudio</v>
      </c>
    </row>
    <row r="3">
      <c r="A3" s="19" t="str">
        <f>IFERROR(__xludf.DUMMYFUNCTION("""COMPUTED_VALUE"""),"ALVAREZ RUBIERA, Juan Martin")</f>
        <v>ALVAREZ RUBIERA, Juan Martin</v>
      </c>
      <c r="B3" s="14" t="str">
        <f>IFERROR(__xludf.DUMMYFUNCTION("""COMPUTED_VALUE"""),"4")</f>
        <v>4</v>
      </c>
      <c r="C3" s="14" t="str">
        <f>IFERROR(__xludf.DUMMYFUNCTION("""COMPUTED_VALUE"""),"2")</f>
        <v>2</v>
      </c>
      <c r="D3" s="15" t="str">
        <f>IFERROR(__xludf.DUMMYFUNCTION("""COMPUTED_VALUE"""),"Mañana")</f>
        <v>Mañana</v>
      </c>
      <c r="E3" s="15" t="str">
        <f>IFERROR(__xludf.DUMMYFUNCTION("""COMPUTED_VALUE"""),"GADO")</f>
        <v>GADO</v>
      </c>
      <c r="F3" s="15" t="str">
        <f>IFERROR(__xludf.DUMMYFUNCTION("""COMPUTED_VALUE"""),"ET 24 DE 17")</f>
        <v>ET 24 DE 17</v>
      </c>
      <c r="G3" s="12" t="str">
        <f>IFERROR(__xludf.DUMMYFUNCTION("""COMPUTED_VALUE"""),"LLENOLIO, Claudio")</f>
        <v>LLENOLIO, Claudio</v>
      </c>
    </row>
    <row r="4">
      <c r="A4" s="19" t="str">
        <f>IFERROR(__xludf.DUMMYFUNCTION("""COMPUTED_VALUE"""),"BUSTOS DEL VALLE, Joaquín")</f>
        <v>BUSTOS DEL VALLE, Joaquín</v>
      </c>
      <c r="B4" s="14" t="str">
        <f>IFERROR(__xludf.DUMMYFUNCTION("""COMPUTED_VALUE"""),"4")</f>
        <v>4</v>
      </c>
      <c r="C4" s="14" t="str">
        <f>IFERROR(__xludf.DUMMYFUNCTION("""COMPUTED_VALUE"""),"2")</f>
        <v>2</v>
      </c>
      <c r="D4" s="15" t="str">
        <f>IFERROR(__xludf.DUMMYFUNCTION("""COMPUTED_VALUE"""),"Mañana")</f>
        <v>Mañana</v>
      </c>
      <c r="E4" s="15" t="str">
        <f>IFERROR(__xludf.DUMMYFUNCTION("""COMPUTED_VALUE"""),"GADO")</f>
        <v>GADO</v>
      </c>
      <c r="F4" s="15" t="str">
        <f>IFERROR(__xludf.DUMMYFUNCTION("""COMPUTED_VALUE"""),"ET 24 DE 17")</f>
        <v>ET 24 DE 17</v>
      </c>
      <c r="G4" s="12" t="str">
        <f>IFERROR(__xludf.DUMMYFUNCTION("""COMPUTED_VALUE"""),"LLENOLIO, Claudio")</f>
        <v>LLENOLIO, Claudio</v>
      </c>
    </row>
    <row r="5">
      <c r="A5" s="19" t="str">
        <f>IFERROR(__xludf.DUMMYFUNCTION("""COMPUTED_VALUE"""),"CABRERA OBANDO, Nahuel Miqueas")</f>
        <v>CABRERA OBANDO, Nahuel Miqueas</v>
      </c>
      <c r="B5" s="14" t="str">
        <f>IFERROR(__xludf.DUMMYFUNCTION("""COMPUTED_VALUE"""),"4")</f>
        <v>4</v>
      </c>
      <c r="C5" s="14" t="str">
        <f>IFERROR(__xludf.DUMMYFUNCTION("""COMPUTED_VALUE"""),"2")</f>
        <v>2</v>
      </c>
      <c r="D5" s="15" t="str">
        <f>IFERROR(__xludf.DUMMYFUNCTION("""COMPUTED_VALUE"""),"Mañana")</f>
        <v>Mañana</v>
      </c>
      <c r="E5" s="15" t="str">
        <f>IFERROR(__xludf.DUMMYFUNCTION("""COMPUTED_VALUE"""),"GADO")</f>
        <v>GADO</v>
      </c>
      <c r="F5" s="15" t="str">
        <f>IFERROR(__xludf.DUMMYFUNCTION("""COMPUTED_VALUE"""),"ET 24 DE 17")</f>
        <v>ET 24 DE 17</v>
      </c>
      <c r="G5" s="12" t="str">
        <f>IFERROR(__xludf.DUMMYFUNCTION("""COMPUTED_VALUE"""),"LLENOLIO, Claudio")</f>
        <v>LLENOLIO, Claudio</v>
      </c>
    </row>
    <row r="6">
      <c r="A6" s="12" t="str">
        <f>IFERROR(__xludf.DUMMYFUNCTION("""COMPUTED_VALUE"""),"CHALLGUA QUISPE, Jeremy Joel")</f>
        <v>CHALLGUA QUISPE, Jeremy Joel</v>
      </c>
      <c r="B6" s="14" t="str">
        <f>IFERROR(__xludf.DUMMYFUNCTION("""COMPUTED_VALUE"""),"4")</f>
        <v>4</v>
      </c>
      <c r="C6" s="14" t="str">
        <f>IFERROR(__xludf.DUMMYFUNCTION("""COMPUTED_VALUE"""),"2")</f>
        <v>2</v>
      </c>
      <c r="D6" s="15" t="str">
        <f>IFERROR(__xludf.DUMMYFUNCTION("""COMPUTED_VALUE"""),"Mañana")</f>
        <v>Mañana</v>
      </c>
      <c r="E6" s="15" t="str">
        <f>IFERROR(__xludf.DUMMYFUNCTION("""COMPUTED_VALUE"""),"GADO")</f>
        <v>GADO</v>
      </c>
      <c r="F6" s="15" t="str">
        <f>IFERROR(__xludf.DUMMYFUNCTION("""COMPUTED_VALUE"""),"ET 24 DE 17")</f>
        <v>ET 24 DE 17</v>
      </c>
      <c r="G6" s="12" t="str">
        <f>IFERROR(__xludf.DUMMYFUNCTION("""COMPUTED_VALUE"""),"LLENOLIO, Claudio")</f>
        <v>LLENOLIO, Claudio</v>
      </c>
    </row>
    <row r="7">
      <c r="A7" s="12" t="str">
        <f>IFERROR(__xludf.DUMMYFUNCTION("""COMPUTED_VALUE"""),"CORDOBÉZ, Martín")</f>
        <v>CORDOBÉZ, Martín</v>
      </c>
      <c r="B7" s="14" t="str">
        <f>IFERROR(__xludf.DUMMYFUNCTION("""COMPUTED_VALUE"""),"4")</f>
        <v>4</v>
      </c>
      <c r="C7" s="14" t="str">
        <f>IFERROR(__xludf.DUMMYFUNCTION("""COMPUTED_VALUE"""),"2")</f>
        <v>2</v>
      </c>
      <c r="D7" s="15" t="str">
        <f>IFERROR(__xludf.DUMMYFUNCTION("""COMPUTED_VALUE"""),"Mañana")</f>
        <v>Mañana</v>
      </c>
      <c r="E7" s="15" t="str">
        <f>IFERROR(__xludf.DUMMYFUNCTION("""COMPUTED_VALUE"""),"GADO")</f>
        <v>GADO</v>
      </c>
      <c r="F7" s="15" t="str">
        <f>IFERROR(__xludf.DUMMYFUNCTION("""COMPUTED_VALUE"""),"ET 24 DE 17")</f>
        <v>ET 24 DE 17</v>
      </c>
      <c r="G7" s="12" t="str">
        <f>IFERROR(__xludf.DUMMYFUNCTION("""COMPUTED_VALUE"""),"LLENOLIO, Claudio")</f>
        <v>LLENOLIO, Claudio</v>
      </c>
    </row>
    <row r="8">
      <c r="A8" s="12" t="str">
        <f>IFERROR(__xludf.DUMMYFUNCTION("""COMPUTED_VALUE"""),"GALARZA")</f>
        <v>GALARZA</v>
      </c>
      <c r="B8" s="14" t="str">
        <f>IFERROR(__xludf.DUMMYFUNCTION("""COMPUTED_VALUE"""),"4")</f>
        <v>4</v>
      </c>
      <c r="C8" s="14" t="str">
        <f>IFERROR(__xludf.DUMMYFUNCTION("""COMPUTED_VALUE"""),"2")</f>
        <v>2</v>
      </c>
      <c r="D8" s="15" t="str">
        <f>IFERROR(__xludf.DUMMYFUNCTION("""COMPUTED_VALUE"""),"Mañana")</f>
        <v>Mañana</v>
      </c>
      <c r="E8" s="15" t="str">
        <f>IFERROR(__xludf.DUMMYFUNCTION("""COMPUTED_VALUE"""),"GADO")</f>
        <v>GADO</v>
      </c>
      <c r="F8" s="15" t="str">
        <f>IFERROR(__xludf.DUMMYFUNCTION("""COMPUTED_VALUE"""),"ET 24 DE 17")</f>
        <v>ET 24 DE 17</v>
      </c>
      <c r="G8" s="12" t="str">
        <f>IFERROR(__xludf.DUMMYFUNCTION("""COMPUTED_VALUE"""),"LLENOLIO, Claudio")</f>
        <v>LLENOLIO, Claudio</v>
      </c>
    </row>
    <row r="9">
      <c r="A9" s="12" t="str">
        <f>IFERROR(__xludf.DUMMYFUNCTION("""COMPUTED_VALUE"""),"GÓMEZ, Cristian Martín")</f>
        <v>GÓMEZ, Cristian Martín</v>
      </c>
      <c r="B9" s="14" t="str">
        <f>IFERROR(__xludf.DUMMYFUNCTION("""COMPUTED_VALUE"""),"4")</f>
        <v>4</v>
      </c>
      <c r="C9" s="14" t="str">
        <f>IFERROR(__xludf.DUMMYFUNCTION("""COMPUTED_VALUE"""),"2")</f>
        <v>2</v>
      </c>
      <c r="D9" s="15" t="str">
        <f>IFERROR(__xludf.DUMMYFUNCTION("""COMPUTED_VALUE"""),"Mañana")</f>
        <v>Mañana</v>
      </c>
      <c r="E9" s="15" t="str">
        <f>IFERROR(__xludf.DUMMYFUNCTION("""COMPUTED_VALUE"""),"GADO")</f>
        <v>GADO</v>
      </c>
      <c r="F9" s="15" t="str">
        <f>IFERROR(__xludf.DUMMYFUNCTION("""COMPUTED_VALUE"""),"ET 24 DE 17")</f>
        <v>ET 24 DE 17</v>
      </c>
      <c r="G9" s="12" t="str">
        <f>IFERROR(__xludf.DUMMYFUNCTION("""COMPUTED_VALUE"""),"LLENOLIO, Claudio")</f>
        <v>LLENOLIO, Claudio</v>
      </c>
    </row>
    <row r="10">
      <c r="A10" s="12" t="str">
        <f>IFERROR(__xludf.DUMMYFUNCTION("""COMPUTED_VALUE"""),"GÓMEZ IRARZÁBAL, Emanuel")</f>
        <v>GÓMEZ IRARZÁBAL, Emanuel</v>
      </c>
      <c r="B10" s="14" t="str">
        <f>IFERROR(__xludf.DUMMYFUNCTION("""COMPUTED_VALUE"""),"4")</f>
        <v>4</v>
      </c>
      <c r="C10" s="14" t="str">
        <f>IFERROR(__xludf.DUMMYFUNCTION("""COMPUTED_VALUE"""),"2")</f>
        <v>2</v>
      </c>
      <c r="D10" s="15" t="str">
        <f>IFERROR(__xludf.DUMMYFUNCTION("""COMPUTED_VALUE"""),"Mañana")</f>
        <v>Mañana</v>
      </c>
      <c r="E10" s="15" t="str">
        <f>IFERROR(__xludf.DUMMYFUNCTION("""COMPUTED_VALUE"""),"GADO")</f>
        <v>GADO</v>
      </c>
      <c r="F10" s="15" t="str">
        <f>IFERROR(__xludf.DUMMYFUNCTION("""COMPUTED_VALUE"""),"ET 24 DE 17")</f>
        <v>ET 24 DE 17</v>
      </c>
      <c r="G10" s="12" t="str">
        <f>IFERROR(__xludf.DUMMYFUNCTION("""COMPUTED_VALUE"""),"LLENOLIO, Claudio")</f>
        <v>LLENOLIO, Claudio</v>
      </c>
    </row>
    <row r="11">
      <c r="A11" s="12" t="str">
        <f>IFERROR(__xludf.DUMMYFUNCTION("""COMPUTED_VALUE"""),"GONZÁLEZ ANTIVERO, Ariadna")</f>
        <v>GONZÁLEZ ANTIVERO, Ariadna</v>
      </c>
      <c r="B11" s="14" t="str">
        <f>IFERROR(__xludf.DUMMYFUNCTION("""COMPUTED_VALUE"""),"4")</f>
        <v>4</v>
      </c>
      <c r="C11" s="14" t="str">
        <f>IFERROR(__xludf.DUMMYFUNCTION("""COMPUTED_VALUE"""),"2")</f>
        <v>2</v>
      </c>
      <c r="D11" s="15" t="str">
        <f>IFERROR(__xludf.DUMMYFUNCTION("""COMPUTED_VALUE"""),"Mañana")</f>
        <v>Mañana</v>
      </c>
      <c r="E11" s="15" t="str">
        <f>IFERROR(__xludf.DUMMYFUNCTION("""COMPUTED_VALUE"""),"GADO")</f>
        <v>GADO</v>
      </c>
      <c r="F11" s="15" t="str">
        <f>IFERROR(__xludf.DUMMYFUNCTION("""COMPUTED_VALUE"""),"ET 24 DE 17")</f>
        <v>ET 24 DE 17</v>
      </c>
      <c r="G11" s="12" t="str">
        <f>IFERROR(__xludf.DUMMYFUNCTION("""COMPUTED_VALUE"""),"LLENOLIO, Claudio")</f>
        <v>LLENOLIO, Claudio</v>
      </c>
    </row>
    <row r="12">
      <c r="A12" s="12" t="str">
        <f>IFERROR(__xludf.DUMMYFUNCTION("""COMPUTED_VALUE"""),"GUERRERO, Marina")</f>
        <v>GUERRERO, Marina</v>
      </c>
      <c r="B12" s="14" t="str">
        <f>IFERROR(__xludf.DUMMYFUNCTION("""COMPUTED_VALUE"""),"4")</f>
        <v>4</v>
      </c>
      <c r="C12" s="14" t="str">
        <f>IFERROR(__xludf.DUMMYFUNCTION("""COMPUTED_VALUE"""),"2")</f>
        <v>2</v>
      </c>
      <c r="D12" s="15" t="str">
        <f>IFERROR(__xludf.DUMMYFUNCTION("""COMPUTED_VALUE"""),"Mañana")</f>
        <v>Mañana</v>
      </c>
      <c r="E12" s="15" t="str">
        <f>IFERROR(__xludf.DUMMYFUNCTION("""COMPUTED_VALUE"""),"GADO")</f>
        <v>GADO</v>
      </c>
      <c r="F12" s="15" t="str">
        <f>IFERROR(__xludf.DUMMYFUNCTION("""COMPUTED_VALUE"""),"ET 24 DE 17")</f>
        <v>ET 24 DE 17</v>
      </c>
      <c r="G12" s="12" t="str">
        <f>IFERROR(__xludf.DUMMYFUNCTION("""COMPUTED_VALUE"""),"LLENOLIO, Claudio")</f>
        <v>LLENOLIO, Claudio</v>
      </c>
    </row>
    <row r="13">
      <c r="A13" s="12" t="str">
        <f>IFERROR(__xludf.DUMMYFUNCTION("""COMPUTED_VALUE"""),"HUALAMPA, Benjamín Leonel")</f>
        <v>HUALAMPA, Benjamín Leonel</v>
      </c>
      <c r="B13" s="14" t="str">
        <f>IFERROR(__xludf.DUMMYFUNCTION("""COMPUTED_VALUE"""),"4")</f>
        <v>4</v>
      </c>
      <c r="C13" s="14" t="str">
        <f>IFERROR(__xludf.DUMMYFUNCTION("""COMPUTED_VALUE"""),"2")</f>
        <v>2</v>
      </c>
      <c r="D13" s="15" t="str">
        <f>IFERROR(__xludf.DUMMYFUNCTION("""COMPUTED_VALUE"""),"Mañana")</f>
        <v>Mañana</v>
      </c>
      <c r="E13" s="15" t="str">
        <f>IFERROR(__xludf.DUMMYFUNCTION("""COMPUTED_VALUE"""),"GADO")</f>
        <v>GADO</v>
      </c>
      <c r="F13" s="15" t="str">
        <f>IFERROR(__xludf.DUMMYFUNCTION("""COMPUTED_VALUE"""),"ET 24 DE 17")</f>
        <v>ET 24 DE 17</v>
      </c>
      <c r="G13" s="12" t="str">
        <f>IFERROR(__xludf.DUMMYFUNCTION("""COMPUTED_VALUE"""),"LLENOLIO, Claudio")</f>
        <v>LLENOLIO, Claudio</v>
      </c>
    </row>
    <row r="14">
      <c r="A14" s="12" t="str">
        <f>IFERROR(__xludf.DUMMYFUNCTION("""COMPUTED_VALUE"""),"MELGAREJO SEGOVIA, Micaela")</f>
        <v>MELGAREJO SEGOVIA, Micaela</v>
      </c>
      <c r="B14" s="14" t="str">
        <f>IFERROR(__xludf.DUMMYFUNCTION("""COMPUTED_VALUE"""),"4")</f>
        <v>4</v>
      </c>
      <c r="C14" s="14" t="str">
        <f>IFERROR(__xludf.DUMMYFUNCTION("""COMPUTED_VALUE"""),"2")</f>
        <v>2</v>
      </c>
      <c r="D14" s="15" t="str">
        <f>IFERROR(__xludf.DUMMYFUNCTION("""COMPUTED_VALUE"""),"Mañana")</f>
        <v>Mañana</v>
      </c>
      <c r="E14" s="15" t="str">
        <f>IFERROR(__xludf.DUMMYFUNCTION("""COMPUTED_VALUE"""),"GADO")</f>
        <v>GADO</v>
      </c>
      <c r="F14" s="15" t="str">
        <f>IFERROR(__xludf.DUMMYFUNCTION("""COMPUTED_VALUE"""),"ET 24 DE 18")</f>
        <v>ET 24 DE 18</v>
      </c>
      <c r="G14" s="12" t="str">
        <f>IFERROR(__xludf.DUMMYFUNCTION("""COMPUTED_VALUE"""),"LLENOLIO, Claudio")</f>
        <v>LLENOLIO, Claudio</v>
      </c>
    </row>
    <row r="15">
      <c r="A15" s="12" t="str">
        <f>IFERROR(__xludf.DUMMYFUNCTION("""COMPUTED_VALUE"""),"MESU SORIANO, Joaquina")</f>
        <v>MESU SORIANO, Joaquina</v>
      </c>
      <c r="B15" s="14" t="str">
        <f>IFERROR(__xludf.DUMMYFUNCTION("""COMPUTED_VALUE"""),"4")</f>
        <v>4</v>
      </c>
      <c r="C15" s="14" t="str">
        <f>IFERROR(__xludf.DUMMYFUNCTION("""COMPUTED_VALUE"""),"2")</f>
        <v>2</v>
      </c>
      <c r="D15" s="15" t="str">
        <f>IFERROR(__xludf.DUMMYFUNCTION("""COMPUTED_VALUE"""),"Mañana")</f>
        <v>Mañana</v>
      </c>
      <c r="E15" s="15" t="str">
        <f>IFERROR(__xludf.DUMMYFUNCTION("""COMPUTED_VALUE"""),"GADO")</f>
        <v>GADO</v>
      </c>
      <c r="F15" s="15" t="str">
        <f>IFERROR(__xludf.DUMMYFUNCTION("""COMPUTED_VALUE"""),"ET 24 DE 17")</f>
        <v>ET 24 DE 17</v>
      </c>
      <c r="G15" s="12" t="str">
        <f>IFERROR(__xludf.DUMMYFUNCTION("""COMPUTED_VALUE"""),"LLENOLIO, Claudio")</f>
        <v>LLENOLIO, Claudio</v>
      </c>
    </row>
    <row r="16">
      <c r="A16" s="12" t="str">
        <f>IFERROR(__xludf.DUMMYFUNCTION("""COMPUTED_VALUE"""),"MORENO, Santiago Benjamín")</f>
        <v>MORENO, Santiago Benjamín</v>
      </c>
      <c r="B16" s="14" t="str">
        <f>IFERROR(__xludf.DUMMYFUNCTION("""COMPUTED_VALUE"""),"4")</f>
        <v>4</v>
      </c>
      <c r="C16" s="14" t="str">
        <f>IFERROR(__xludf.DUMMYFUNCTION("""COMPUTED_VALUE"""),"2")</f>
        <v>2</v>
      </c>
      <c r="D16" s="15" t="str">
        <f>IFERROR(__xludf.DUMMYFUNCTION("""COMPUTED_VALUE"""),"Mañana")</f>
        <v>Mañana</v>
      </c>
      <c r="E16" s="15" t="str">
        <f>IFERROR(__xludf.DUMMYFUNCTION("""COMPUTED_VALUE"""),"GADO")</f>
        <v>GADO</v>
      </c>
      <c r="F16" s="15" t="str">
        <f>IFERROR(__xludf.DUMMYFUNCTION("""COMPUTED_VALUE"""),"ET 24 DE 17")</f>
        <v>ET 24 DE 17</v>
      </c>
      <c r="G16" s="12" t="str">
        <f>IFERROR(__xludf.DUMMYFUNCTION("""COMPUTED_VALUE"""),"LLENOLIO, Claudio")</f>
        <v>LLENOLIO, Claudio</v>
      </c>
    </row>
    <row r="17">
      <c r="A17" s="12" t="str">
        <f>IFERROR(__xludf.DUMMYFUNCTION("""COMPUTED_VALUE"""),"PARODI RAINIERI, Carolina")</f>
        <v>PARODI RAINIERI, Carolina</v>
      </c>
      <c r="B17" s="14" t="str">
        <f>IFERROR(__xludf.DUMMYFUNCTION("""COMPUTED_VALUE"""),"4")</f>
        <v>4</v>
      </c>
      <c r="C17" s="14" t="str">
        <f>IFERROR(__xludf.DUMMYFUNCTION("""COMPUTED_VALUE"""),"2")</f>
        <v>2</v>
      </c>
      <c r="D17" s="15" t="str">
        <f>IFERROR(__xludf.DUMMYFUNCTION("""COMPUTED_VALUE"""),"Mañana")</f>
        <v>Mañana</v>
      </c>
      <c r="E17" s="15" t="str">
        <f>IFERROR(__xludf.DUMMYFUNCTION("""COMPUTED_VALUE"""),"GADO")</f>
        <v>GADO</v>
      </c>
      <c r="F17" s="15" t="str">
        <f>IFERROR(__xludf.DUMMYFUNCTION("""COMPUTED_VALUE"""),"ET 24 DE 17")</f>
        <v>ET 24 DE 17</v>
      </c>
      <c r="G17" s="12" t="str">
        <f>IFERROR(__xludf.DUMMYFUNCTION("""COMPUTED_VALUE"""),"LLENOLIO, Claudio")</f>
        <v>LLENOLIO, Claudio</v>
      </c>
    </row>
    <row r="18">
      <c r="A18" s="12" t="str">
        <f>IFERROR(__xludf.DUMMYFUNCTION("""COMPUTED_VALUE"""),"PINTO FRANKE, Tomás Ezequiel")</f>
        <v>PINTO FRANKE, Tomás Ezequiel</v>
      </c>
      <c r="B18" s="14" t="str">
        <f>IFERROR(__xludf.DUMMYFUNCTION("""COMPUTED_VALUE"""),"4")</f>
        <v>4</v>
      </c>
      <c r="C18" s="14" t="str">
        <f>IFERROR(__xludf.DUMMYFUNCTION("""COMPUTED_VALUE"""),"2")</f>
        <v>2</v>
      </c>
      <c r="D18" s="15" t="str">
        <f>IFERROR(__xludf.DUMMYFUNCTION("""COMPUTED_VALUE"""),"Mañana")</f>
        <v>Mañana</v>
      </c>
      <c r="E18" s="15" t="str">
        <f>IFERROR(__xludf.DUMMYFUNCTION("""COMPUTED_VALUE"""),"GADO")</f>
        <v>GADO</v>
      </c>
      <c r="F18" s="15" t="str">
        <f>IFERROR(__xludf.DUMMYFUNCTION("""COMPUTED_VALUE"""),"ET 24 DE 17")</f>
        <v>ET 24 DE 17</v>
      </c>
      <c r="G18" s="12" t="str">
        <f>IFERROR(__xludf.DUMMYFUNCTION("""COMPUTED_VALUE"""),"LLENOLIO, Claudio")</f>
        <v>LLENOLIO, Claudio</v>
      </c>
    </row>
    <row r="19">
      <c r="A19" s="12" t="str">
        <f>IFERROR(__xludf.DUMMYFUNCTION("""COMPUTED_VALUE"""),"PONTORIERO, Bautista")</f>
        <v>PONTORIERO, Bautista</v>
      </c>
      <c r="B19" s="14" t="str">
        <f>IFERROR(__xludf.DUMMYFUNCTION("""COMPUTED_VALUE"""),"4")</f>
        <v>4</v>
      </c>
      <c r="C19" s="14" t="str">
        <f>IFERROR(__xludf.DUMMYFUNCTION("""COMPUTED_VALUE"""),"2")</f>
        <v>2</v>
      </c>
      <c r="D19" s="15" t="str">
        <f>IFERROR(__xludf.DUMMYFUNCTION("""COMPUTED_VALUE"""),"Mañana")</f>
        <v>Mañana</v>
      </c>
      <c r="E19" s="15" t="str">
        <f>IFERROR(__xludf.DUMMYFUNCTION("""COMPUTED_VALUE"""),"GADO")</f>
        <v>GADO</v>
      </c>
      <c r="F19" s="15" t="str">
        <f>IFERROR(__xludf.DUMMYFUNCTION("""COMPUTED_VALUE"""),"ET 24 DE 17")</f>
        <v>ET 24 DE 17</v>
      </c>
      <c r="G19" s="12" t="str">
        <f>IFERROR(__xludf.DUMMYFUNCTION("""COMPUTED_VALUE"""),"LLENOLIO, Claudio")</f>
        <v>LLENOLIO, Claudio</v>
      </c>
    </row>
    <row r="20">
      <c r="A20" s="12" t="str">
        <f>IFERROR(__xludf.DUMMYFUNCTION("""COMPUTED_VALUE"""),"ROMERO GONZÁLEZ, Isis Mariela")</f>
        <v>ROMERO GONZÁLEZ, Isis Mariela</v>
      </c>
      <c r="B20" s="14" t="str">
        <f>IFERROR(__xludf.DUMMYFUNCTION("""COMPUTED_VALUE"""),"4")</f>
        <v>4</v>
      </c>
      <c r="C20" s="14" t="str">
        <f>IFERROR(__xludf.DUMMYFUNCTION("""COMPUTED_VALUE"""),"2")</f>
        <v>2</v>
      </c>
      <c r="D20" s="15" t="str">
        <f>IFERROR(__xludf.DUMMYFUNCTION("""COMPUTED_VALUE"""),"Mañana")</f>
        <v>Mañana</v>
      </c>
      <c r="E20" s="15" t="str">
        <f>IFERROR(__xludf.DUMMYFUNCTION("""COMPUTED_VALUE"""),"GADO")</f>
        <v>GADO</v>
      </c>
      <c r="F20" s="15" t="str">
        <f>IFERROR(__xludf.DUMMYFUNCTION("""COMPUTED_VALUE"""),"ET 24 DE 17")</f>
        <v>ET 24 DE 17</v>
      </c>
      <c r="G20" s="12" t="str">
        <f>IFERROR(__xludf.DUMMYFUNCTION("""COMPUTED_VALUE"""),"LLENOLIO, Claudio")</f>
        <v>LLENOLIO, Claudio</v>
      </c>
    </row>
    <row r="21">
      <c r="A21" s="12" t="str">
        <f>IFERROR(__xludf.DUMMYFUNCTION("""COMPUTED_VALUE"""),"RUEDA, Delfina")</f>
        <v>RUEDA, Delfina</v>
      </c>
      <c r="B21" s="14" t="str">
        <f>IFERROR(__xludf.DUMMYFUNCTION("""COMPUTED_VALUE"""),"4")</f>
        <v>4</v>
      </c>
      <c r="C21" s="14" t="str">
        <f>IFERROR(__xludf.DUMMYFUNCTION("""COMPUTED_VALUE"""),"2")</f>
        <v>2</v>
      </c>
      <c r="D21" s="15" t="str">
        <f>IFERROR(__xludf.DUMMYFUNCTION("""COMPUTED_VALUE"""),"Mañana")</f>
        <v>Mañana</v>
      </c>
      <c r="E21" s="15" t="str">
        <f>IFERROR(__xludf.DUMMYFUNCTION("""COMPUTED_VALUE"""),"GADO")</f>
        <v>GADO</v>
      </c>
      <c r="F21" s="15" t="str">
        <f>IFERROR(__xludf.DUMMYFUNCTION("""COMPUTED_VALUE"""),"ET 24 DE 17")</f>
        <v>ET 24 DE 17</v>
      </c>
      <c r="G21" s="12" t="str">
        <f>IFERROR(__xludf.DUMMYFUNCTION("""COMPUTED_VALUE"""),"LLENOLIO, Claudio")</f>
        <v>LLENOLIO, Claudio</v>
      </c>
    </row>
    <row r="22">
      <c r="A22" s="12" t="str">
        <f>IFERROR(__xludf.DUMMYFUNCTION("""COMPUTED_VALUE"""),"STRILCIC GUISADO, Matías")</f>
        <v>STRILCIC GUISADO, Matías</v>
      </c>
      <c r="B22" s="14" t="str">
        <f>IFERROR(__xludf.DUMMYFUNCTION("""COMPUTED_VALUE"""),"4")</f>
        <v>4</v>
      </c>
      <c r="C22" s="14" t="str">
        <f>IFERROR(__xludf.DUMMYFUNCTION("""COMPUTED_VALUE"""),"2")</f>
        <v>2</v>
      </c>
      <c r="D22" s="15" t="str">
        <f>IFERROR(__xludf.DUMMYFUNCTION("""COMPUTED_VALUE"""),"Mañana")</f>
        <v>Mañana</v>
      </c>
      <c r="E22" s="15" t="str">
        <f>IFERROR(__xludf.DUMMYFUNCTION("""COMPUTED_VALUE"""),"GADO")</f>
        <v>GADO</v>
      </c>
      <c r="F22" s="15" t="str">
        <f>IFERROR(__xludf.DUMMYFUNCTION("""COMPUTED_VALUE"""),"ET 24 DE 17")</f>
        <v>ET 24 DE 17</v>
      </c>
      <c r="G22" s="12" t="str">
        <f>IFERROR(__xludf.DUMMYFUNCTION("""COMPUTED_VALUE"""),"LLENOLIO, Claudio")</f>
        <v>LLENOLIO, Claudio</v>
      </c>
    </row>
    <row r="23">
      <c r="A23" s="12" t="str">
        <f>IFERROR(__xludf.DUMMYFUNCTION("""COMPUTED_VALUE"""),"VILLAR OSORIO, Juan Manuel")</f>
        <v>VILLAR OSORIO, Juan Manuel</v>
      </c>
      <c r="B23" s="14" t="str">
        <f>IFERROR(__xludf.DUMMYFUNCTION("""COMPUTED_VALUE"""),"4")</f>
        <v>4</v>
      </c>
      <c r="C23" s="14" t="str">
        <f>IFERROR(__xludf.DUMMYFUNCTION("""COMPUTED_VALUE"""),"2")</f>
        <v>2</v>
      </c>
      <c r="D23" s="15" t="str">
        <f>IFERROR(__xludf.DUMMYFUNCTION("""COMPUTED_VALUE"""),"Mañana")</f>
        <v>Mañana</v>
      </c>
      <c r="E23" s="15" t="str">
        <f>IFERROR(__xludf.DUMMYFUNCTION("""COMPUTED_VALUE"""),"GADO")</f>
        <v>GADO</v>
      </c>
      <c r="F23" s="15" t="str">
        <f>IFERROR(__xludf.DUMMYFUNCTION("""COMPUTED_VALUE"""),"ET 24 DE 17")</f>
        <v>ET 24 DE 17</v>
      </c>
      <c r="G23" s="12" t="str">
        <f>IFERROR(__xludf.DUMMYFUNCTION("""COMPUTED_VALUE"""),"LLENOLIO, Claudio")</f>
        <v>LLENOLIO, Claudio</v>
      </c>
    </row>
    <row r="24">
      <c r="A24" s="12" t="str">
        <f>IFERROR(__xludf.DUMMYFUNCTION("""COMPUTED_VALUE"""),"VOLANTE,Guiliano")</f>
        <v>VOLANTE,Guiliano</v>
      </c>
      <c r="B24" s="14" t="str">
        <f>IFERROR(__xludf.DUMMYFUNCTION("""COMPUTED_VALUE"""),"4")</f>
        <v>4</v>
      </c>
      <c r="C24" s="14" t="str">
        <f>IFERROR(__xludf.DUMMYFUNCTION("""COMPUTED_VALUE"""),"2")</f>
        <v>2</v>
      </c>
      <c r="D24" s="15" t="str">
        <f>IFERROR(__xludf.DUMMYFUNCTION("""COMPUTED_VALUE"""),"Mañana")</f>
        <v>Mañana</v>
      </c>
      <c r="E24" s="15" t="str">
        <f>IFERROR(__xludf.DUMMYFUNCTION("""COMPUTED_VALUE"""),"GADO")</f>
        <v>GADO</v>
      </c>
      <c r="F24" s="15" t="str">
        <f>IFERROR(__xludf.DUMMYFUNCTION("""COMPUTED_VALUE"""),"ET 24 DE 17")</f>
        <v>ET 24 DE 17</v>
      </c>
      <c r="G24" s="12" t="str">
        <f>IFERROR(__xludf.DUMMYFUNCTION("""COMPUTED_VALUE"""),"LLENOLIO, Claudio")</f>
        <v>LLENOLIO, Claudio</v>
      </c>
    </row>
    <row r="25">
      <c r="A25" s="12" t="str">
        <f>IFERROR(__xludf.DUMMYFUNCTION("""COMPUTED_VALUE"""),"ZALAZAR PETRILLO, Enzo Uriel")</f>
        <v>ZALAZAR PETRILLO, Enzo Uriel</v>
      </c>
      <c r="B25" s="14" t="str">
        <f>IFERROR(__xludf.DUMMYFUNCTION("""COMPUTED_VALUE"""),"4")</f>
        <v>4</v>
      </c>
      <c r="C25" s="14" t="str">
        <f>IFERROR(__xludf.DUMMYFUNCTION("""COMPUTED_VALUE"""),"2")</f>
        <v>2</v>
      </c>
      <c r="D25" s="15" t="str">
        <f>IFERROR(__xludf.DUMMYFUNCTION("""COMPUTED_VALUE"""),"Mañana")</f>
        <v>Mañana</v>
      </c>
      <c r="E25" s="15" t="str">
        <f>IFERROR(__xludf.DUMMYFUNCTION("""COMPUTED_VALUE"""),"GADO")</f>
        <v>GADO</v>
      </c>
      <c r="F25" s="15" t="str">
        <f>IFERROR(__xludf.DUMMYFUNCTION("""COMPUTED_VALUE"""),"ET 24 DE 17")</f>
        <v>ET 24 DE 17</v>
      </c>
      <c r="G25" s="12" t="str">
        <f>IFERROR(__xludf.DUMMYFUNCTION("""COMPUTED_VALUE"""),"LLENOLIO, Claudio")</f>
        <v>LLENOLIO, Claudio</v>
      </c>
    </row>
    <row r="26">
      <c r="A26" s="12" t="str">
        <f>IFERROR(__xludf.DUMMYFUNCTION("""COMPUTED_VALUE"""),"LLENOLIO, Claudio")</f>
        <v>LLENOLIO, Claudio</v>
      </c>
      <c r="B26" s="14" t="str">
        <f>IFERROR(__xludf.DUMMYFUNCTION("""COMPUTED_VALUE"""),"4")</f>
        <v>4</v>
      </c>
      <c r="C26" s="14" t="str">
        <f>IFERROR(__xludf.DUMMYFUNCTION("""COMPUTED_VALUE"""),"2")</f>
        <v>2</v>
      </c>
      <c r="D26" s="15" t="str">
        <f>IFERROR(__xludf.DUMMYFUNCTION("""COMPUTED_VALUE"""),"Mañana")</f>
        <v>Mañana</v>
      </c>
      <c r="E26" s="15" t="str">
        <f>IFERROR(__xludf.DUMMYFUNCTION("""COMPUTED_VALUE"""),"GADO")</f>
        <v>GADO</v>
      </c>
      <c r="F26" s="15" t="str">
        <f>IFERROR(__xludf.DUMMYFUNCTION("""COMPUTED_VALUE"""),"ET 24 DE 17")</f>
        <v>ET 24 DE 17</v>
      </c>
      <c r="G26" s="12" t="str">
        <f>IFERROR(__xludf.DUMMYFUNCTION("""COMPUTED_VALUE"""),"LLENOLIO, Claudio")</f>
        <v>LLENOLIO, Claudio</v>
      </c>
    </row>
    <row r="27">
      <c r="A27" s="12"/>
      <c r="B27" s="14"/>
      <c r="C27" s="14"/>
      <c r="D27" s="15"/>
      <c r="E27" s="15"/>
      <c r="F27" s="15"/>
      <c r="G27" s="12"/>
    </row>
    <row r="28">
      <c r="A28" s="12"/>
      <c r="B28" s="14"/>
      <c r="C28" s="14"/>
      <c r="D28" s="15"/>
      <c r="E28" s="15"/>
      <c r="F28" s="15"/>
      <c r="G28" s="12"/>
    </row>
    <row r="29">
      <c r="A29" s="12"/>
      <c r="B29" s="14"/>
      <c r="C29" s="14"/>
      <c r="D29" s="15"/>
      <c r="E29" s="15"/>
      <c r="F29" s="15"/>
      <c r="G29" s="12"/>
    </row>
    <row r="30">
      <c r="A30" s="12"/>
      <c r="B30" s="14"/>
      <c r="C30" s="14"/>
      <c r="D30" s="15"/>
      <c r="E30" s="15"/>
      <c r="F30" s="15"/>
      <c r="G30" s="12"/>
    </row>
    <row r="31">
      <c r="A31" s="12"/>
      <c r="B31" s="14"/>
      <c r="C31" s="14"/>
      <c r="D31" s="15"/>
      <c r="E31" s="15"/>
      <c r="F31" s="15"/>
      <c r="G31" s="12"/>
    </row>
    <row r="32">
      <c r="A32" s="12"/>
      <c r="B32" s="14"/>
      <c r="C32" s="14"/>
      <c r="D32" s="15"/>
      <c r="E32" s="15"/>
      <c r="F32" s="15"/>
      <c r="G32" s="12"/>
    </row>
    <row r="33">
      <c r="A33" s="12"/>
      <c r="B33" s="14"/>
      <c r="C33" s="14"/>
      <c r="D33" s="15"/>
      <c r="E33" s="15"/>
      <c r="F33" s="15"/>
      <c r="G33" s="12"/>
    </row>
    <row r="34">
      <c r="A34" s="12"/>
      <c r="B34" s="14"/>
      <c r="C34" s="14"/>
      <c r="D34" s="15"/>
      <c r="E34" s="15"/>
      <c r="F34" s="15"/>
      <c r="G34" s="12"/>
    </row>
    <row r="35">
      <c r="A35" s="12"/>
      <c r="B35" s="14"/>
      <c r="C35" s="14"/>
      <c r="D35" s="15"/>
      <c r="E35" s="15"/>
      <c r="F35" s="15"/>
      <c r="G35" s="12"/>
    </row>
    <row r="36">
      <c r="A36" s="12"/>
      <c r="B36" s="14"/>
      <c r="C36" s="14"/>
      <c r="D36" s="15"/>
      <c r="E36" s="15"/>
      <c r="F36" s="15"/>
      <c r="G36" s="12"/>
    </row>
    <row r="37">
      <c r="A37" s="12"/>
      <c r="B37" s="14"/>
      <c r="C37" s="14"/>
      <c r="D37" s="15"/>
      <c r="E37" s="15"/>
      <c r="F37" s="15"/>
      <c r="G37" s="12"/>
    </row>
    <row r="38">
      <c r="A38" s="12"/>
      <c r="B38" s="14"/>
      <c r="C38" s="14"/>
      <c r="D38" s="15"/>
      <c r="E38" s="15"/>
      <c r="F38" s="15"/>
      <c r="G38" s="12"/>
    </row>
    <row r="39">
      <c r="A39" s="12"/>
      <c r="B39" s="14"/>
      <c r="C39" s="14"/>
      <c r="D39" s="15"/>
      <c r="E39" s="15"/>
      <c r="F39" s="15"/>
      <c r="G39" s="12"/>
    </row>
    <row r="40">
      <c r="A40" s="12"/>
      <c r="B40" s="14"/>
      <c r="C40" s="14"/>
      <c r="D40" s="15"/>
      <c r="E40" s="15"/>
      <c r="F40" s="15"/>
      <c r="G40" s="12"/>
    </row>
    <row r="41">
      <c r="A41" s="12"/>
      <c r="B41" s="14"/>
      <c r="C41" s="14"/>
      <c r="D41" s="15"/>
      <c r="E41" s="15"/>
      <c r="F41" s="15"/>
      <c r="G41" s="12"/>
    </row>
    <row r="42">
      <c r="A42" s="12"/>
      <c r="B42" s="14"/>
      <c r="C42" s="14"/>
      <c r="D42" s="15"/>
      <c r="E42" s="15"/>
      <c r="F42" s="15"/>
      <c r="G42" s="12"/>
    </row>
    <row r="43">
      <c r="A43" s="12"/>
      <c r="B43" s="14"/>
      <c r="C43" s="14"/>
      <c r="D43" s="15"/>
      <c r="E43" s="15"/>
      <c r="F43" s="15"/>
      <c r="G43" s="12"/>
    </row>
    <row r="44">
      <c r="A44" s="12"/>
      <c r="B44" s="14"/>
      <c r="C44" s="14"/>
      <c r="D44" s="15"/>
      <c r="E44" s="15"/>
      <c r="F44" s="15"/>
      <c r="G44" s="12"/>
    </row>
    <row r="45">
      <c r="A45" s="12"/>
      <c r="B45" s="14"/>
      <c r="C45" s="14"/>
      <c r="D45" s="15"/>
      <c r="E45" s="15"/>
      <c r="F45" s="15"/>
      <c r="G45" s="12"/>
    </row>
    <row r="46">
      <c r="A46" s="12"/>
      <c r="B46" s="14"/>
      <c r="C46" s="14"/>
      <c r="D46" s="15"/>
      <c r="E46" s="15"/>
      <c r="F46" s="15"/>
      <c r="G46" s="12"/>
    </row>
    <row r="47">
      <c r="A47" s="12"/>
      <c r="B47" s="14"/>
      <c r="C47" s="14"/>
      <c r="D47" s="15"/>
      <c r="E47" s="15"/>
      <c r="F47" s="15"/>
      <c r="G47" s="12"/>
    </row>
    <row r="48">
      <c r="A48" s="12"/>
      <c r="B48" s="14"/>
      <c r="C48" s="14"/>
      <c r="D48" s="15"/>
      <c r="E48" s="15"/>
      <c r="F48" s="15"/>
      <c r="G48" s="12"/>
    </row>
    <row r="49">
      <c r="A49" s="12"/>
      <c r="B49" s="14"/>
      <c r="C49" s="14"/>
      <c r="D49" s="15"/>
      <c r="E49" s="15"/>
      <c r="F49" s="15"/>
      <c r="G49" s="12"/>
    </row>
    <row r="50">
      <c r="A50" s="12"/>
      <c r="B50" s="14"/>
      <c r="C50" s="14"/>
      <c r="D50" s="15"/>
      <c r="E50" s="15"/>
      <c r="F50" s="15"/>
      <c r="G50" s="12"/>
    </row>
    <row r="51">
      <c r="A51" s="12"/>
      <c r="B51" s="14"/>
      <c r="C51" s="14"/>
      <c r="D51" s="15"/>
      <c r="E51" s="15"/>
      <c r="F51" s="15"/>
      <c r="G51" s="12"/>
    </row>
    <row r="52">
      <c r="A52" s="12"/>
      <c r="B52" s="14"/>
      <c r="C52" s="14"/>
      <c r="D52" s="15"/>
      <c r="E52" s="15"/>
      <c r="F52" s="15"/>
      <c r="G52" s="12"/>
    </row>
    <row r="53">
      <c r="A53" s="12"/>
      <c r="B53" s="14"/>
      <c r="C53" s="14"/>
      <c r="D53" s="15"/>
      <c r="E53" s="15"/>
      <c r="F53" s="15"/>
      <c r="G53" s="12"/>
    </row>
    <row r="54">
      <c r="A54" s="12"/>
      <c r="B54" s="14"/>
      <c r="C54" s="14"/>
      <c r="D54" s="15"/>
      <c r="E54" s="15"/>
      <c r="F54" s="15"/>
      <c r="G54" s="12"/>
    </row>
    <row r="55">
      <c r="A55" s="12"/>
      <c r="B55" s="14"/>
      <c r="C55" s="14"/>
      <c r="D55" s="15"/>
      <c r="E55" s="15"/>
      <c r="F55" s="15"/>
      <c r="G55" s="12"/>
    </row>
    <row r="56">
      <c r="A56" s="12"/>
      <c r="B56" s="14"/>
      <c r="C56" s="14"/>
      <c r="D56" s="15"/>
      <c r="E56" s="15"/>
      <c r="F56" s="15"/>
      <c r="G56" s="12"/>
    </row>
    <row r="57">
      <c r="A57" s="12"/>
      <c r="B57" s="14"/>
      <c r="C57" s="14"/>
      <c r="D57" s="15"/>
      <c r="E57" s="15"/>
      <c r="F57" s="15"/>
      <c r="G57" s="12"/>
    </row>
    <row r="58">
      <c r="A58" s="12"/>
      <c r="B58" s="14"/>
      <c r="C58" s="14"/>
      <c r="D58" s="15"/>
      <c r="E58" s="15"/>
      <c r="F58" s="15"/>
      <c r="G58" s="12"/>
    </row>
    <row r="59">
      <c r="A59" s="12"/>
      <c r="B59" s="14"/>
      <c r="C59" s="14"/>
      <c r="D59" s="15"/>
      <c r="E59" s="15"/>
      <c r="F59" s="15"/>
      <c r="G59" s="12"/>
    </row>
    <row r="60">
      <c r="A60" s="12"/>
      <c r="B60" s="14"/>
      <c r="C60" s="14"/>
      <c r="D60" s="15"/>
      <c r="E60" s="15"/>
      <c r="F60" s="15"/>
      <c r="G60" s="12"/>
    </row>
    <row r="61">
      <c r="A61" s="12"/>
      <c r="B61" s="14"/>
      <c r="C61" s="14"/>
      <c r="D61" s="15"/>
      <c r="E61" s="15"/>
      <c r="F61" s="15"/>
      <c r="G61" s="12"/>
    </row>
    <row r="62">
      <c r="A62" s="12"/>
      <c r="B62" s="14"/>
      <c r="C62" s="14"/>
      <c r="D62" s="15"/>
      <c r="E62" s="15"/>
      <c r="F62" s="15"/>
      <c r="G62" s="12"/>
    </row>
    <row r="63">
      <c r="A63" s="12"/>
      <c r="B63" s="14"/>
      <c r="C63" s="14"/>
      <c r="D63" s="15"/>
      <c r="E63" s="15"/>
      <c r="F63" s="15"/>
      <c r="G63" s="12"/>
    </row>
    <row r="64">
      <c r="A64" s="12"/>
      <c r="B64" s="14"/>
      <c r="C64" s="14"/>
      <c r="D64" s="15"/>
      <c r="E64" s="15"/>
      <c r="F64" s="15"/>
      <c r="G64" s="12"/>
    </row>
    <row r="65">
      <c r="A65" s="12"/>
      <c r="B65" s="14"/>
      <c r="C65" s="14"/>
      <c r="D65" s="15"/>
      <c r="E65" s="15"/>
      <c r="F65" s="15"/>
      <c r="G65" s="12"/>
    </row>
    <row r="66">
      <c r="A66" s="12"/>
      <c r="B66" s="14"/>
      <c r="C66" s="14"/>
      <c r="D66" s="15"/>
      <c r="E66" s="15"/>
      <c r="F66" s="15"/>
      <c r="G66" s="12"/>
    </row>
    <row r="67">
      <c r="A67" s="12"/>
      <c r="B67" s="14"/>
      <c r="C67" s="14"/>
      <c r="D67" s="15"/>
      <c r="E67" s="15"/>
      <c r="F67" s="15"/>
      <c r="G67" s="12"/>
    </row>
    <row r="68">
      <c r="A68" s="12"/>
      <c r="B68" s="14"/>
      <c r="C68" s="14"/>
      <c r="D68" s="15"/>
      <c r="E68" s="15"/>
      <c r="F68" s="15"/>
      <c r="G68" s="12"/>
    </row>
    <row r="69">
      <c r="A69" s="12"/>
      <c r="B69" s="14"/>
      <c r="C69" s="14"/>
      <c r="D69" s="15"/>
      <c r="E69" s="15"/>
      <c r="F69" s="15"/>
      <c r="G69" s="12"/>
    </row>
    <row r="70">
      <c r="A70" s="12"/>
      <c r="B70" s="14"/>
      <c r="C70" s="14"/>
      <c r="D70" s="15"/>
      <c r="E70" s="15"/>
      <c r="F70" s="15"/>
      <c r="G70" s="12"/>
    </row>
    <row r="71">
      <c r="A71" s="12"/>
      <c r="B71" s="14"/>
      <c r="C71" s="14"/>
      <c r="D71" s="15"/>
      <c r="E71" s="15"/>
      <c r="F71" s="15"/>
      <c r="G71" s="12"/>
    </row>
    <row r="72">
      <c r="A72" s="12"/>
      <c r="B72" s="14"/>
      <c r="C72" s="14"/>
      <c r="D72" s="15"/>
      <c r="E72" s="15"/>
      <c r="F72" s="15"/>
      <c r="G72" s="12"/>
    </row>
    <row r="73">
      <c r="A73" s="12"/>
      <c r="B73" s="14"/>
      <c r="C73" s="14"/>
      <c r="D73" s="15"/>
      <c r="E73" s="15"/>
      <c r="F73" s="15"/>
      <c r="G73" s="12"/>
    </row>
    <row r="74">
      <c r="A74" s="12"/>
      <c r="B74" s="14"/>
      <c r="C74" s="14"/>
      <c r="D74" s="15"/>
      <c r="E74" s="15"/>
      <c r="F74" s="15"/>
      <c r="G74" s="12"/>
    </row>
    <row r="75">
      <c r="A75" s="12"/>
      <c r="B75" s="14"/>
      <c r="C75" s="14"/>
      <c r="D75" s="15"/>
      <c r="E75" s="15"/>
      <c r="F75" s="15"/>
      <c r="G75" s="12"/>
    </row>
    <row r="76">
      <c r="A76" s="12"/>
      <c r="B76" s="14"/>
      <c r="C76" s="14"/>
      <c r="D76" s="15"/>
      <c r="E76" s="15"/>
      <c r="F76" s="15"/>
      <c r="G76" s="12"/>
    </row>
    <row r="77">
      <c r="A77" s="12"/>
      <c r="B77" s="14"/>
      <c r="C77" s="14"/>
      <c r="D77" s="15"/>
      <c r="E77" s="15"/>
      <c r="F77" s="15"/>
      <c r="G77" s="12"/>
    </row>
    <row r="78">
      <c r="A78" s="12"/>
      <c r="B78" s="14"/>
      <c r="C78" s="14"/>
      <c r="D78" s="15"/>
      <c r="E78" s="15"/>
      <c r="F78" s="15"/>
      <c r="G78" s="12"/>
    </row>
    <row r="79">
      <c r="A79" s="12"/>
      <c r="B79" s="14"/>
      <c r="C79" s="14"/>
      <c r="D79" s="15"/>
      <c r="E79" s="15"/>
      <c r="F79" s="15"/>
      <c r="G79" s="12"/>
    </row>
    <row r="80">
      <c r="A80" s="12"/>
      <c r="B80" s="14"/>
      <c r="C80" s="14"/>
      <c r="D80" s="15"/>
      <c r="E80" s="15"/>
      <c r="F80" s="15"/>
      <c r="G80" s="12"/>
    </row>
    <row r="81">
      <c r="A81" s="12"/>
      <c r="B81" s="14"/>
      <c r="C81" s="14"/>
      <c r="D81" s="15"/>
      <c r="E81" s="15"/>
      <c r="F81" s="15"/>
      <c r="G81" s="12"/>
    </row>
    <row r="82">
      <c r="A82" s="12"/>
      <c r="B82" s="14"/>
      <c r="C82" s="14"/>
      <c r="D82" s="15"/>
      <c r="E82" s="15"/>
      <c r="F82" s="15"/>
      <c r="G82" s="12"/>
    </row>
    <row r="83">
      <c r="A83" s="12"/>
      <c r="B83" s="14"/>
      <c r="C83" s="14"/>
      <c r="D83" s="15"/>
      <c r="E83" s="15"/>
      <c r="F83" s="15"/>
      <c r="G83" s="12"/>
    </row>
    <row r="84">
      <c r="A84" s="12"/>
      <c r="B84" s="14"/>
      <c r="C84" s="14"/>
      <c r="D84" s="15"/>
      <c r="E84" s="15"/>
      <c r="F84" s="15"/>
      <c r="G84" s="12"/>
    </row>
    <row r="85">
      <c r="A85" s="12"/>
      <c r="B85" s="14"/>
      <c r="C85" s="14"/>
      <c r="D85" s="15"/>
      <c r="E85" s="15"/>
      <c r="F85" s="15"/>
      <c r="G85" s="12"/>
    </row>
    <row r="86">
      <c r="A86" s="12"/>
      <c r="B86" s="14"/>
      <c r="C86" s="14"/>
      <c r="D86" s="15"/>
      <c r="E86" s="15"/>
      <c r="F86" s="15"/>
      <c r="G86" s="12"/>
    </row>
    <row r="87">
      <c r="A87" s="12"/>
      <c r="B87" s="14"/>
      <c r="C87" s="14"/>
      <c r="D87" s="15"/>
      <c r="E87" s="15"/>
      <c r="F87" s="15"/>
      <c r="G87" s="12"/>
    </row>
    <row r="88">
      <c r="A88" s="12"/>
      <c r="B88" s="14"/>
      <c r="C88" s="14"/>
      <c r="D88" s="15"/>
      <c r="E88" s="15"/>
      <c r="F88" s="15"/>
      <c r="G88" s="12"/>
    </row>
    <row r="89">
      <c r="A89" s="12"/>
      <c r="B89" s="14"/>
      <c r="C89" s="14"/>
      <c r="D89" s="15"/>
      <c r="E89" s="15"/>
      <c r="F89" s="15"/>
      <c r="G89" s="12"/>
    </row>
    <row r="90">
      <c r="A90" s="12"/>
      <c r="B90" s="14"/>
      <c r="C90" s="14"/>
      <c r="D90" s="15"/>
      <c r="E90" s="15"/>
      <c r="F90" s="15"/>
      <c r="G90" s="12"/>
    </row>
    <row r="91">
      <c r="A91" s="12"/>
      <c r="B91" s="14"/>
      <c r="C91" s="14"/>
      <c r="D91" s="15"/>
      <c r="E91" s="15"/>
      <c r="F91" s="15"/>
      <c r="G91" s="12"/>
    </row>
    <row r="92">
      <c r="A92" s="12"/>
      <c r="B92" s="14"/>
      <c r="C92" s="14"/>
      <c r="D92" s="15"/>
      <c r="E92" s="15"/>
      <c r="F92" s="15"/>
      <c r="G92" s="12"/>
    </row>
    <row r="93">
      <c r="A93" s="12"/>
      <c r="B93" s="14"/>
      <c r="C93" s="14"/>
      <c r="D93" s="15"/>
      <c r="E93" s="15"/>
      <c r="F93" s="15"/>
      <c r="G93" s="12"/>
    </row>
    <row r="94">
      <c r="A94" s="12"/>
      <c r="B94" s="14"/>
      <c r="C94" s="14"/>
      <c r="D94" s="15"/>
      <c r="E94" s="15"/>
      <c r="F94" s="15"/>
      <c r="G94" s="12"/>
    </row>
    <row r="95">
      <c r="A95" s="12"/>
      <c r="B95" s="14"/>
      <c r="C95" s="14"/>
      <c r="D95" s="15"/>
      <c r="E95" s="15"/>
      <c r="F95" s="15"/>
      <c r="G95" s="12"/>
    </row>
    <row r="96">
      <c r="A96" s="12"/>
      <c r="B96" s="14"/>
      <c r="C96" s="14"/>
      <c r="D96" s="15"/>
      <c r="E96" s="15"/>
      <c r="F96" s="15"/>
      <c r="G96" s="12"/>
    </row>
    <row r="97">
      <c r="A97" s="12"/>
      <c r="B97" s="14"/>
      <c r="C97" s="14"/>
      <c r="D97" s="15"/>
      <c r="E97" s="15"/>
      <c r="F97" s="15"/>
      <c r="G97" s="12"/>
    </row>
    <row r="98">
      <c r="A98" s="12"/>
      <c r="B98" s="14"/>
      <c r="C98" s="14"/>
      <c r="D98" s="15"/>
      <c r="E98" s="15"/>
      <c r="F98" s="15"/>
      <c r="G98" s="12"/>
    </row>
    <row r="99">
      <c r="A99" s="12"/>
      <c r="B99" s="14"/>
      <c r="C99" s="14"/>
      <c r="D99" s="15"/>
      <c r="E99" s="15"/>
      <c r="F99" s="15"/>
      <c r="G99" s="12"/>
    </row>
    <row r="100">
      <c r="A100" s="12"/>
      <c r="B100" s="14"/>
      <c r="C100" s="14"/>
      <c r="D100" s="15"/>
      <c r="E100" s="15"/>
      <c r="F100" s="15"/>
      <c r="G100" s="12"/>
    </row>
    <row r="101">
      <c r="A101" s="12"/>
      <c r="B101" s="14"/>
      <c r="C101" s="14"/>
      <c r="D101" s="15"/>
      <c r="E101" s="15"/>
      <c r="F101" s="15"/>
      <c r="G101" s="12"/>
    </row>
    <row r="102">
      <c r="A102" s="12"/>
      <c r="B102" s="14"/>
      <c r="C102" s="14"/>
      <c r="D102" s="15"/>
      <c r="E102" s="15"/>
      <c r="F102" s="15"/>
      <c r="G102" s="12"/>
    </row>
    <row r="103">
      <c r="A103" s="12"/>
      <c r="B103" s="14"/>
      <c r="C103" s="14"/>
      <c r="D103" s="15"/>
      <c r="E103" s="15"/>
      <c r="F103" s="15"/>
      <c r="G103" s="12"/>
    </row>
    <row r="104">
      <c r="A104" s="12"/>
      <c r="B104" s="14"/>
      <c r="C104" s="14"/>
      <c r="D104" s="15"/>
      <c r="E104" s="15"/>
      <c r="F104" s="15"/>
      <c r="G104" s="12"/>
    </row>
    <row r="105">
      <c r="A105" s="12"/>
      <c r="B105" s="14"/>
      <c r="C105" s="14"/>
      <c r="D105" s="15"/>
      <c r="E105" s="15"/>
      <c r="F105" s="15"/>
      <c r="G105" s="12"/>
    </row>
    <row r="106">
      <c r="A106" s="12"/>
      <c r="B106" s="14"/>
      <c r="C106" s="14"/>
      <c r="D106" s="15"/>
      <c r="E106" s="15"/>
      <c r="F106" s="15"/>
      <c r="G106" s="12"/>
    </row>
    <row r="107">
      <c r="A107" s="12"/>
      <c r="B107" s="14"/>
      <c r="C107" s="14"/>
      <c r="D107" s="15"/>
      <c r="E107" s="15"/>
      <c r="F107" s="15"/>
      <c r="G107" s="12"/>
    </row>
    <row r="108">
      <c r="A108" s="12"/>
      <c r="B108" s="14"/>
      <c r="C108" s="14"/>
      <c r="D108" s="15"/>
      <c r="E108" s="15"/>
      <c r="F108" s="15"/>
      <c r="G108" s="12"/>
    </row>
    <row r="109">
      <c r="A109" s="12"/>
      <c r="B109" s="14"/>
      <c r="C109" s="14"/>
      <c r="D109" s="15"/>
      <c r="E109" s="15"/>
      <c r="F109" s="15"/>
      <c r="G109" s="12"/>
    </row>
    <row r="110">
      <c r="A110" s="12"/>
      <c r="B110" s="14"/>
      <c r="C110" s="14"/>
      <c r="D110" s="15"/>
      <c r="E110" s="15"/>
      <c r="F110" s="15"/>
      <c r="G110" s="12"/>
    </row>
    <row r="111">
      <c r="A111" s="12"/>
      <c r="B111" s="14"/>
      <c r="C111" s="14"/>
      <c r="D111" s="15"/>
      <c r="E111" s="15"/>
      <c r="F111" s="15"/>
      <c r="G111" s="12"/>
    </row>
    <row r="112">
      <c r="A112" s="12"/>
      <c r="B112" s="14"/>
      <c r="C112" s="14"/>
      <c r="D112" s="15"/>
      <c r="E112" s="15"/>
      <c r="F112" s="15"/>
      <c r="G112" s="12"/>
    </row>
    <row r="113">
      <c r="A113" s="12"/>
      <c r="B113" s="14"/>
      <c r="C113" s="14"/>
      <c r="D113" s="15"/>
      <c r="E113" s="15"/>
      <c r="F113" s="15"/>
      <c r="G113" s="12"/>
    </row>
    <row r="114">
      <c r="A114" s="12"/>
      <c r="B114" s="14"/>
      <c r="C114" s="14"/>
      <c r="D114" s="15"/>
      <c r="E114" s="15"/>
      <c r="F114" s="15"/>
      <c r="G114" s="12"/>
    </row>
    <row r="115">
      <c r="A115" s="12"/>
      <c r="B115" s="14"/>
      <c r="C115" s="14"/>
      <c r="D115" s="15"/>
      <c r="E115" s="15"/>
      <c r="F115" s="15"/>
      <c r="G115" s="12"/>
    </row>
    <row r="116">
      <c r="A116" s="12"/>
      <c r="B116" s="14"/>
      <c r="C116" s="14"/>
      <c r="D116" s="15"/>
      <c r="E116" s="15"/>
      <c r="F116" s="15"/>
      <c r="G116" s="12"/>
    </row>
    <row r="117">
      <c r="A117" s="12"/>
      <c r="B117" s="14"/>
      <c r="C117" s="14"/>
      <c r="D117" s="15"/>
      <c r="E117" s="15"/>
      <c r="F117" s="15"/>
      <c r="G117" s="12"/>
    </row>
    <row r="118">
      <c r="A118" s="12"/>
      <c r="B118" s="14"/>
      <c r="C118" s="14"/>
      <c r="D118" s="15"/>
      <c r="E118" s="15"/>
      <c r="F118" s="15"/>
      <c r="G118" s="12"/>
    </row>
    <row r="119">
      <c r="A119" s="12"/>
      <c r="B119" s="14"/>
      <c r="C119" s="14"/>
      <c r="D119" s="15"/>
      <c r="E119" s="15"/>
      <c r="F119" s="15"/>
      <c r="G119" s="12"/>
    </row>
    <row r="120">
      <c r="A120" s="12"/>
      <c r="B120" s="14"/>
      <c r="C120" s="14"/>
      <c r="D120" s="15"/>
      <c r="E120" s="15"/>
      <c r="F120" s="15"/>
      <c r="G120" s="12"/>
    </row>
    <row r="121">
      <c r="A121" s="12"/>
      <c r="B121" s="14"/>
      <c r="C121" s="14"/>
      <c r="D121" s="15"/>
      <c r="E121" s="15"/>
      <c r="F121" s="15"/>
      <c r="G121" s="12"/>
    </row>
    <row r="122">
      <c r="A122" s="12"/>
      <c r="B122" s="14"/>
      <c r="C122" s="14"/>
      <c r="D122" s="15"/>
      <c r="E122" s="15"/>
      <c r="F122" s="15"/>
      <c r="G122" s="12"/>
    </row>
    <row r="123">
      <c r="A123" s="12"/>
      <c r="B123" s="14"/>
      <c r="C123" s="14"/>
      <c r="D123" s="15"/>
      <c r="E123" s="15"/>
      <c r="F123" s="15"/>
      <c r="G123" s="12"/>
    </row>
    <row r="124">
      <c r="A124" s="12"/>
      <c r="B124" s="14"/>
      <c r="C124" s="14"/>
      <c r="D124" s="15"/>
      <c r="E124" s="15"/>
      <c r="F124" s="15"/>
      <c r="G124" s="12"/>
    </row>
    <row r="125">
      <c r="A125" s="12"/>
      <c r="B125" s="14"/>
      <c r="C125" s="14"/>
      <c r="D125" s="15"/>
      <c r="E125" s="15"/>
      <c r="F125" s="15"/>
      <c r="G125" s="12"/>
    </row>
    <row r="126">
      <c r="A126" s="12"/>
      <c r="B126" s="14"/>
      <c r="C126" s="14"/>
      <c r="D126" s="15"/>
      <c r="E126" s="15"/>
      <c r="F126" s="15"/>
      <c r="G126" s="12"/>
    </row>
    <row r="127">
      <c r="A127" s="12"/>
      <c r="B127" s="14"/>
      <c r="C127" s="14"/>
      <c r="D127" s="15"/>
      <c r="E127" s="15"/>
      <c r="F127" s="15"/>
      <c r="G127" s="12"/>
    </row>
    <row r="128">
      <c r="A128" s="12"/>
      <c r="B128" s="14"/>
      <c r="C128" s="14"/>
      <c r="D128" s="15"/>
      <c r="E128" s="15"/>
      <c r="F128" s="15"/>
      <c r="G128" s="12"/>
    </row>
    <row r="129">
      <c r="A129" s="12"/>
      <c r="B129" s="14"/>
      <c r="C129" s="14"/>
      <c r="D129" s="15"/>
      <c r="E129" s="15"/>
      <c r="F129" s="15"/>
      <c r="G129" s="12"/>
    </row>
    <row r="130">
      <c r="A130" s="12"/>
      <c r="B130" s="14"/>
      <c r="C130" s="14"/>
      <c r="D130" s="15"/>
      <c r="E130" s="15"/>
      <c r="F130" s="15"/>
      <c r="G130" s="12"/>
    </row>
    <row r="131">
      <c r="A131" s="12"/>
      <c r="B131" s="14"/>
      <c r="C131" s="14"/>
      <c r="D131" s="15"/>
      <c r="E131" s="15"/>
      <c r="F131" s="15"/>
      <c r="G131" s="12"/>
    </row>
    <row r="132">
      <c r="A132" s="12"/>
      <c r="B132" s="14"/>
      <c r="C132" s="14"/>
      <c r="D132" s="15"/>
      <c r="E132" s="15"/>
      <c r="F132" s="15"/>
      <c r="G132" s="12"/>
    </row>
    <row r="133">
      <c r="A133" s="12"/>
      <c r="B133" s="14"/>
      <c r="C133" s="14"/>
      <c r="D133" s="15"/>
      <c r="E133" s="15"/>
      <c r="F133" s="15"/>
      <c r="G133" s="12"/>
    </row>
    <row r="134">
      <c r="A134" s="12"/>
      <c r="B134" s="14"/>
      <c r="C134" s="14"/>
      <c r="D134" s="15"/>
      <c r="E134" s="15"/>
      <c r="F134" s="15"/>
      <c r="G134" s="12"/>
    </row>
    <row r="135">
      <c r="A135" s="12"/>
      <c r="B135" s="14"/>
      <c r="C135" s="14"/>
      <c r="D135" s="15"/>
      <c r="E135" s="15"/>
      <c r="F135" s="15"/>
      <c r="G135" s="12"/>
    </row>
    <row r="136">
      <c r="A136" s="12"/>
      <c r="B136" s="14"/>
      <c r="C136" s="14"/>
      <c r="D136" s="15"/>
      <c r="E136" s="15"/>
      <c r="F136" s="15"/>
      <c r="G136" s="12"/>
    </row>
    <row r="137">
      <c r="A137" s="12"/>
      <c r="B137" s="14"/>
      <c r="C137" s="14"/>
      <c r="D137" s="15"/>
      <c r="E137" s="15"/>
      <c r="F137" s="15"/>
      <c r="G137" s="12"/>
    </row>
    <row r="138">
      <c r="A138" s="12"/>
      <c r="B138" s="14"/>
      <c r="C138" s="14"/>
      <c r="D138" s="15"/>
      <c r="E138" s="15"/>
      <c r="F138" s="15"/>
      <c r="G138" s="12"/>
    </row>
    <row r="139">
      <c r="A139" s="12"/>
      <c r="B139" s="14"/>
      <c r="C139" s="14"/>
      <c r="D139" s="15"/>
      <c r="E139" s="15"/>
      <c r="F139" s="15"/>
      <c r="G139" s="12"/>
    </row>
    <row r="140">
      <c r="A140" s="12"/>
      <c r="B140" s="14"/>
      <c r="C140" s="14"/>
      <c r="D140" s="15"/>
      <c r="E140" s="15"/>
      <c r="F140" s="15"/>
      <c r="G140" s="12"/>
    </row>
    <row r="141">
      <c r="A141" s="12"/>
      <c r="B141" s="14"/>
      <c r="C141" s="14"/>
      <c r="D141" s="15"/>
      <c r="E141" s="15"/>
      <c r="F141" s="15"/>
      <c r="G141" s="12"/>
    </row>
    <row r="142">
      <c r="A142" s="12"/>
      <c r="B142" s="14"/>
      <c r="C142" s="14"/>
      <c r="D142" s="15"/>
      <c r="E142" s="15"/>
      <c r="F142" s="15"/>
      <c r="G142" s="12"/>
    </row>
    <row r="143">
      <c r="A143" s="12"/>
      <c r="B143" s="14"/>
      <c r="C143" s="14"/>
      <c r="D143" s="15"/>
      <c r="E143" s="15"/>
      <c r="F143" s="15"/>
      <c r="G143" s="12"/>
    </row>
    <row r="144">
      <c r="A144" s="12"/>
      <c r="B144" s="14"/>
      <c r="C144" s="14"/>
      <c r="D144" s="15"/>
      <c r="E144" s="15"/>
      <c r="F144" s="15"/>
      <c r="G144" s="12"/>
    </row>
    <row r="145">
      <c r="A145" s="12"/>
      <c r="B145" s="14"/>
      <c r="C145" s="14"/>
      <c r="D145" s="15"/>
      <c r="E145" s="15"/>
      <c r="F145" s="15"/>
      <c r="G145" s="12"/>
    </row>
    <row r="146">
      <c r="A146" s="12"/>
      <c r="B146" s="14"/>
      <c r="C146" s="14"/>
      <c r="D146" s="15"/>
      <c r="E146" s="15"/>
      <c r="F146" s="15"/>
      <c r="G146" s="12"/>
    </row>
    <row r="147">
      <c r="A147" s="12"/>
      <c r="B147" s="14"/>
      <c r="C147" s="14"/>
      <c r="D147" s="15"/>
      <c r="E147" s="15"/>
      <c r="F147" s="15"/>
      <c r="G147" s="12"/>
    </row>
    <row r="148">
      <c r="A148" s="12"/>
      <c r="B148" s="14"/>
      <c r="C148" s="14"/>
      <c r="D148" s="15"/>
      <c r="E148" s="15"/>
      <c r="F148" s="15"/>
      <c r="G148" s="12"/>
    </row>
    <row r="149">
      <c r="A149" s="12"/>
      <c r="B149" s="14"/>
      <c r="C149" s="14"/>
      <c r="D149" s="15"/>
      <c r="E149" s="15"/>
      <c r="F149" s="15"/>
      <c r="G149" s="12"/>
    </row>
    <row r="150">
      <c r="A150" s="12"/>
      <c r="B150" s="14"/>
      <c r="C150" s="14"/>
      <c r="D150" s="15"/>
      <c r="E150" s="15"/>
      <c r="F150" s="15"/>
      <c r="G150" s="12"/>
    </row>
    <row r="151">
      <c r="A151" s="12"/>
      <c r="B151" s="14"/>
      <c r="C151" s="14"/>
      <c r="D151" s="15"/>
      <c r="E151" s="15"/>
      <c r="F151" s="15"/>
      <c r="G151" s="12"/>
    </row>
    <row r="152">
      <c r="A152" s="12"/>
      <c r="B152" s="14"/>
      <c r="C152" s="14"/>
      <c r="D152" s="15"/>
      <c r="E152" s="15"/>
      <c r="F152" s="15"/>
      <c r="G152" s="12"/>
    </row>
    <row r="153">
      <c r="A153" s="12"/>
      <c r="B153" s="14"/>
      <c r="C153" s="14"/>
      <c r="D153" s="15"/>
      <c r="E153" s="15"/>
      <c r="F153" s="15"/>
      <c r="G153" s="12"/>
    </row>
    <row r="154">
      <c r="A154" s="12"/>
      <c r="B154" s="14"/>
      <c r="C154" s="14"/>
      <c r="D154" s="15"/>
      <c r="E154" s="15"/>
      <c r="F154" s="15"/>
      <c r="G154" s="12"/>
    </row>
    <row r="155">
      <c r="A155" s="12"/>
      <c r="B155" s="14"/>
      <c r="C155" s="14"/>
      <c r="D155" s="15"/>
      <c r="E155" s="15"/>
      <c r="F155" s="15"/>
      <c r="G155" s="12"/>
    </row>
    <row r="156">
      <c r="A156" s="12"/>
      <c r="B156" s="14"/>
      <c r="C156" s="14"/>
      <c r="D156" s="15"/>
      <c r="E156" s="15"/>
      <c r="F156" s="15"/>
      <c r="G156" s="12"/>
    </row>
    <row r="157">
      <c r="A157" s="12"/>
      <c r="B157" s="14"/>
      <c r="C157" s="14"/>
      <c r="D157" s="15"/>
      <c r="E157" s="15"/>
      <c r="F157" s="15"/>
      <c r="G157" s="12"/>
    </row>
    <row r="158">
      <c r="A158" s="12"/>
      <c r="B158" s="14"/>
      <c r="C158" s="14"/>
      <c r="D158" s="15"/>
      <c r="E158" s="15"/>
      <c r="F158" s="15"/>
      <c r="G158" s="12"/>
    </row>
    <row r="159">
      <c r="A159" s="12"/>
      <c r="B159" s="14"/>
      <c r="C159" s="14"/>
      <c r="D159" s="15"/>
      <c r="E159" s="15"/>
      <c r="F159" s="15"/>
      <c r="G159" s="12"/>
    </row>
    <row r="160">
      <c r="A160" s="12"/>
      <c r="B160" s="14"/>
      <c r="C160" s="14"/>
      <c r="D160" s="15"/>
      <c r="E160" s="15"/>
      <c r="F160" s="15"/>
      <c r="G160" s="12"/>
    </row>
    <row r="161">
      <c r="A161" s="12"/>
      <c r="B161" s="14"/>
      <c r="C161" s="14"/>
      <c r="D161" s="15"/>
      <c r="E161" s="15"/>
      <c r="F161" s="15"/>
      <c r="G161" s="12"/>
    </row>
    <row r="162">
      <c r="A162" s="12"/>
      <c r="B162" s="14"/>
      <c r="C162" s="14"/>
      <c r="D162" s="15"/>
      <c r="E162" s="15"/>
      <c r="F162" s="15"/>
      <c r="G162" s="12"/>
    </row>
    <row r="163">
      <c r="A163" s="12"/>
      <c r="B163" s="14"/>
      <c r="C163" s="14"/>
      <c r="D163" s="15"/>
      <c r="E163" s="15"/>
      <c r="F163" s="15"/>
      <c r="G163" s="12"/>
    </row>
    <row r="164">
      <c r="A164" s="12"/>
      <c r="B164" s="14"/>
      <c r="C164" s="14"/>
      <c r="D164" s="15"/>
      <c r="E164" s="15"/>
      <c r="F164" s="15"/>
      <c r="G164" s="12"/>
    </row>
    <row r="165">
      <c r="A165" s="12"/>
      <c r="B165" s="14"/>
      <c r="C165" s="14"/>
      <c r="D165" s="15"/>
      <c r="E165" s="15"/>
      <c r="F165" s="15"/>
      <c r="G165" s="12"/>
    </row>
    <row r="166">
      <c r="A166" s="12"/>
      <c r="B166" s="14"/>
      <c r="C166" s="14"/>
      <c r="D166" s="15"/>
      <c r="E166" s="15"/>
      <c r="F166" s="15"/>
      <c r="G166" s="12"/>
    </row>
    <row r="167">
      <c r="A167" s="12"/>
      <c r="B167" s="14"/>
      <c r="C167" s="14"/>
      <c r="D167" s="15"/>
      <c r="E167" s="15"/>
      <c r="F167" s="15"/>
      <c r="G167" s="12"/>
    </row>
    <row r="168">
      <c r="A168" s="12"/>
      <c r="B168" s="14"/>
      <c r="C168" s="14"/>
      <c r="D168" s="15"/>
      <c r="E168" s="15"/>
      <c r="F168" s="15"/>
      <c r="G168" s="12"/>
    </row>
    <row r="169">
      <c r="A169" s="12"/>
      <c r="B169" s="14"/>
      <c r="C169" s="14"/>
      <c r="D169" s="15"/>
      <c r="E169" s="15"/>
      <c r="F169" s="15"/>
      <c r="G169" s="12"/>
    </row>
    <row r="170">
      <c r="A170" s="12"/>
      <c r="B170" s="14"/>
      <c r="C170" s="14"/>
      <c r="D170" s="15"/>
      <c r="E170" s="15"/>
      <c r="F170" s="15"/>
      <c r="G170" s="12"/>
    </row>
    <row r="171">
      <c r="A171" s="12"/>
      <c r="B171" s="14"/>
      <c r="C171" s="14"/>
      <c r="D171" s="15"/>
      <c r="E171" s="15"/>
      <c r="F171" s="15"/>
      <c r="G171" s="12"/>
    </row>
    <row r="172">
      <c r="A172" s="12"/>
      <c r="B172" s="14"/>
      <c r="C172" s="14"/>
      <c r="D172" s="15"/>
      <c r="E172" s="15"/>
      <c r="F172" s="15"/>
      <c r="G172" s="12"/>
    </row>
    <row r="173">
      <c r="A173" s="12"/>
      <c r="B173" s="14"/>
      <c r="C173" s="14"/>
      <c r="D173" s="15"/>
      <c r="E173" s="15"/>
      <c r="F173" s="15"/>
      <c r="G173" s="12"/>
    </row>
    <row r="174">
      <c r="A174" s="12"/>
      <c r="B174" s="14"/>
      <c r="C174" s="14"/>
      <c r="D174" s="15"/>
      <c r="E174" s="15"/>
      <c r="F174" s="15"/>
      <c r="G174" s="12"/>
    </row>
    <row r="175">
      <c r="A175" s="12"/>
      <c r="B175" s="14"/>
      <c r="C175" s="14"/>
      <c r="D175" s="15"/>
      <c r="E175" s="15"/>
      <c r="F175" s="15"/>
      <c r="G175" s="12"/>
    </row>
    <row r="176">
      <c r="A176" s="12"/>
      <c r="B176" s="14"/>
      <c r="C176" s="14"/>
      <c r="D176" s="15"/>
      <c r="E176" s="15"/>
      <c r="F176" s="15"/>
      <c r="G176" s="12"/>
    </row>
    <row r="177">
      <c r="A177" s="12"/>
      <c r="B177" s="14"/>
      <c r="C177" s="14"/>
      <c r="D177" s="15"/>
      <c r="E177" s="15"/>
      <c r="F177" s="15"/>
      <c r="G177" s="12"/>
    </row>
    <row r="178">
      <c r="A178" s="12"/>
      <c r="B178" s="14"/>
      <c r="C178" s="14"/>
      <c r="D178" s="15"/>
      <c r="E178" s="15"/>
      <c r="F178" s="15"/>
      <c r="G178" s="12"/>
    </row>
    <row r="179">
      <c r="A179" s="12"/>
      <c r="B179" s="14"/>
      <c r="C179" s="14"/>
      <c r="D179" s="15"/>
      <c r="E179" s="15"/>
      <c r="F179" s="15"/>
      <c r="G179" s="12"/>
    </row>
    <row r="180">
      <c r="A180" s="12"/>
      <c r="B180" s="14"/>
      <c r="C180" s="14"/>
      <c r="D180" s="15"/>
      <c r="E180" s="15"/>
      <c r="F180" s="15"/>
      <c r="G180" s="12"/>
    </row>
    <row r="181">
      <c r="A181" s="12"/>
      <c r="B181" s="14"/>
      <c r="C181" s="14"/>
      <c r="D181" s="15"/>
      <c r="E181" s="15"/>
      <c r="F181" s="15"/>
      <c r="G181" s="12"/>
    </row>
    <row r="182">
      <c r="A182" s="12"/>
      <c r="B182" s="14"/>
      <c r="C182" s="14"/>
      <c r="D182" s="15"/>
      <c r="E182" s="15"/>
      <c r="F182" s="15"/>
      <c r="G182" s="12"/>
    </row>
    <row r="183">
      <c r="A183" s="12"/>
      <c r="B183" s="14"/>
      <c r="C183" s="14"/>
      <c r="D183" s="15"/>
      <c r="E183" s="15"/>
      <c r="F183" s="15"/>
      <c r="G183" s="12"/>
    </row>
    <row r="184">
      <c r="A184" s="12"/>
      <c r="B184" s="14"/>
      <c r="C184" s="14"/>
      <c r="D184" s="15"/>
      <c r="E184" s="15"/>
      <c r="F184" s="15"/>
      <c r="G184" s="12"/>
    </row>
    <row r="185">
      <c r="A185" s="12"/>
      <c r="B185" s="14"/>
      <c r="C185" s="14"/>
      <c r="D185" s="15"/>
      <c r="E185" s="15"/>
      <c r="F185" s="15"/>
      <c r="G185" s="12"/>
    </row>
    <row r="186">
      <c r="A186" s="12"/>
      <c r="B186" s="14"/>
      <c r="C186" s="14"/>
      <c r="D186" s="15"/>
      <c r="E186" s="15"/>
      <c r="F186" s="15"/>
      <c r="G186" s="12"/>
    </row>
    <row r="187">
      <c r="A187" s="12"/>
      <c r="B187" s="14"/>
      <c r="C187" s="14"/>
      <c r="D187" s="15"/>
      <c r="E187" s="15"/>
      <c r="F187" s="15"/>
      <c r="G187" s="12"/>
    </row>
    <row r="188">
      <c r="A188" s="12"/>
      <c r="B188" s="14"/>
      <c r="C188" s="14"/>
      <c r="D188" s="15"/>
      <c r="E188" s="15"/>
      <c r="F188" s="15"/>
      <c r="G188" s="12"/>
    </row>
    <row r="189">
      <c r="A189" s="12"/>
      <c r="B189" s="14"/>
      <c r="C189" s="14"/>
      <c r="D189" s="15"/>
      <c r="E189" s="15"/>
      <c r="F189" s="15"/>
      <c r="G189" s="12"/>
    </row>
    <row r="190">
      <c r="A190" s="12"/>
      <c r="B190" s="14"/>
      <c r="C190" s="14"/>
      <c r="D190" s="15"/>
      <c r="E190" s="15"/>
      <c r="F190" s="15"/>
      <c r="G190" s="12"/>
    </row>
    <row r="191">
      <c r="A191" s="12"/>
      <c r="B191" s="14"/>
      <c r="C191" s="14"/>
      <c r="D191" s="15"/>
      <c r="E191" s="15"/>
      <c r="F191" s="15"/>
      <c r="G191" s="12"/>
    </row>
    <row r="192">
      <c r="A192" s="12"/>
      <c r="B192" s="14"/>
      <c r="C192" s="14"/>
      <c r="D192" s="15"/>
      <c r="E192" s="15"/>
      <c r="F192" s="15"/>
      <c r="G192" s="12"/>
    </row>
    <row r="193">
      <c r="A193" s="12"/>
      <c r="B193" s="14"/>
      <c r="C193" s="14"/>
      <c r="D193" s="15"/>
      <c r="E193" s="15"/>
      <c r="F193" s="15"/>
      <c r="G193" s="12"/>
    </row>
    <row r="194">
      <c r="A194" s="12"/>
      <c r="B194" s="14"/>
      <c r="C194" s="14"/>
      <c r="D194" s="15"/>
      <c r="E194" s="15"/>
      <c r="F194" s="15"/>
      <c r="G194" s="12"/>
    </row>
    <row r="195">
      <c r="A195" s="12"/>
      <c r="B195" s="14"/>
      <c r="C195" s="14"/>
      <c r="D195" s="15"/>
      <c r="E195" s="15"/>
      <c r="F195" s="15"/>
      <c r="G195" s="12"/>
    </row>
    <row r="196">
      <c r="A196" s="12"/>
      <c r="B196" s="14"/>
      <c r="C196" s="14"/>
      <c r="D196" s="15"/>
      <c r="E196" s="15"/>
      <c r="F196" s="15"/>
      <c r="G196" s="12"/>
    </row>
    <row r="197">
      <c r="A197" s="12"/>
      <c r="B197" s="14"/>
      <c r="C197" s="14"/>
      <c r="D197" s="15"/>
      <c r="E197" s="15"/>
      <c r="F197" s="15"/>
      <c r="G197" s="12"/>
    </row>
    <row r="198">
      <c r="A198" s="12"/>
      <c r="B198" s="14"/>
      <c r="C198" s="14"/>
      <c r="D198" s="15"/>
      <c r="E198" s="15"/>
      <c r="F198" s="15"/>
      <c r="G198" s="12"/>
    </row>
    <row r="199">
      <c r="A199" s="12"/>
      <c r="B199" s="14"/>
      <c r="C199" s="14"/>
      <c r="D199" s="15"/>
      <c r="E199" s="15"/>
      <c r="F199" s="15"/>
      <c r="G199" s="12"/>
    </row>
    <row r="200">
      <c r="A200" s="12"/>
      <c r="B200" s="14"/>
      <c r="C200" s="14"/>
      <c r="D200" s="15"/>
      <c r="E200" s="15"/>
      <c r="F200" s="15"/>
      <c r="G200" s="12"/>
    </row>
    <row r="201">
      <c r="A201" s="12"/>
      <c r="B201" s="14"/>
      <c r="C201" s="14"/>
      <c r="D201" s="15"/>
      <c r="E201" s="15"/>
      <c r="F201" s="15"/>
      <c r="G201" s="12"/>
    </row>
    <row r="202">
      <c r="A202" s="12"/>
      <c r="B202" s="14"/>
      <c r="C202" s="14"/>
      <c r="D202" s="15"/>
      <c r="E202" s="15"/>
      <c r="F202" s="15"/>
      <c r="G202" s="12"/>
    </row>
    <row r="203">
      <c r="A203" s="12"/>
      <c r="B203" s="14"/>
      <c r="C203" s="14"/>
      <c r="D203" s="15"/>
      <c r="E203" s="15"/>
      <c r="F203" s="15"/>
      <c r="G203" s="12"/>
    </row>
    <row r="204">
      <c r="A204" s="12"/>
      <c r="B204" s="14"/>
      <c r="C204" s="14"/>
      <c r="D204" s="15"/>
      <c r="E204" s="15"/>
      <c r="F204" s="15"/>
      <c r="G204" s="12"/>
    </row>
    <row r="205">
      <c r="A205" s="12"/>
      <c r="B205" s="14"/>
      <c r="C205" s="14"/>
      <c r="D205" s="15"/>
      <c r="E205" s="15"/>
      <c r="F205" s="15"/>
      <c r="G205" s="12"/>
    </row>
    <row r="206">
      <c r="A206" s="12"/>
      <c r="B206" s="14"/>
      <c r="C206" s="14"/>
      <c r="D206" s="15"/>
      <c r="E206" s="15"/>
      <c r="F206" s="15"/>
      <c r="G206" s="12"/>
    </row>
    <row r="207">
      <c r="A207" s="12"/>
      <c r="B207" s="14"/>
      <c r="C207" s="14"/>
      <c r="D207" s="15"/>
      <c r="E207" s="15"/>
      <c r="F207" s="15"/>
      <c r="G207" s="12"/>
    </row>
    <row r="208">
      <c r="A208" s="12"/>
      <c r="B208" s="14"/>
      <c r="C208" s="14"/>
      <c r="D208" s="15"/>
      <c r="E208" s="15"/>
      <c r="F208" s="15"/>
      <c r="G208" s="12"/>
    </row>
    <row r="209">
      <c r="A209" s="12"/>
      <c r="B209" s="14"/>
      <c r="C209" s="14"/>
      <c r="D209" s="15"/>
      <c r="E209" s="15"/>
      <c r="F209" s="15"/>
      <c r="G209" s="12"/>
    </row>
    <row r="210">
      <c r="A210" s="12"/>
      <c r="B210" s="14"/>
      <c r="C210" s="14"/>
      <c r="D210" s="15"/>
      <c r="E210" s="15"/>
      <c r="F210" s="15"/>
      <c r="G210" s="12"/>
    </row>
    <row r="211">
      <c r="A211" s="12"/>
      <c r="B211" s="14"/>
      <c r="C211" s="14"/>
      <c r="D211" s="15"/>
      <c r="E211" s="15"/>
      <c r="F211" s="15"/>
      <c r="G211" s="12"/>
    </row>
    <row r="212">
      <c r="A212" s="12"/>
      <c r="B212" s="14"/>
      <c r="C212" s="14"/>
      <c r="D212" s="15"/>
      <c r="E212" s="15"/>
      <c r="F212" s="15"/>
      <c r="G212" s="12"/>
    </row>
    <row r="213">
      <c r="A213" s="12"/>
      <c r="B213" s="14"/>
      <c r="C213" s="14"/>
      <c r="D213" s="15"/>
      <c r="E213" s="15"/>
      <c r="F213" s="15"/>
      <c r="G213" s="12"/>
    </row>
    <row r="214">
      <c r="A214" s="12"/>
      <c r="B214" s="14"/>
      <c r="C214" s="14"/>
      <c r="D214" s="15"/>
      <c r="E214" s="15"/>
      <c r="F214" s="15"/>
      <c r="G214" s="12"/>
    </row>
    <row r="215">
      <c r="A215" s="12"/>
      <c r="B215" s="14"/>
      <c r="C215" s="14"/>
      <c r="D215" s="15"/>
      <c r="E215" s="15"/>
      <c r="F215" s="15"/>
      <c r="G215" s="12"/>
    </row>
    <row r="216">
      <c r="A216" s="12"/>
      <c r="B216" s="14"/>
      <c r="C216" s="14"/>
      <c r="D216" s="15"/>
      <c r="E216" s="15"/>
      <c r="F216" s="15"/>
      <c r="G216" s="12"/>
    </row>
    <row r="217">
      <c r="A217" s="12"/>
      <c r="B217" s="14"/>
      <c r="C217" s="14"/>
      <c r="D217" s="15"/>
      <c r="E217" s="15"/>
      <c r="F217" s="15"/>
      <c r="G217" s="12"/>
    </row>
    <row r="218">
      <c r="A218" s="12"/>
      <c r="B218" s="14"/>
      <c r="C218" s="14"/>
      <c r="D218" s="15"/>
      <c r="E218" s="15"/>
      <c r="F218" s="15"/>
      <c r="G218" s="12"/>
    </row>
    <row r="219">
      <c r="A219" s="12"/>
      <c r="B219" s="14"/>
      <c r="C219" s="14"/>
      <c r="D219" s="15"/>
      <c r="E219" s="15"/>
      <c r="F219" s="15"/>
      <c r="G219" s="12"/>
    </row>
    <row r="220">
      <c r="A220" s="12"/>
      <c r="B220" s="14"/>
      <c r="C220" s="14"/>
      <c r="D220" s="15"/>
      <c r="E220" s="15"/>
      <c r="F220" s="15"/>
      <c r="G220" s="12"/>
    </row>
    <row r="221">
      <c r="A221" s="12"/>
      <c r="B221" s="14"/>
      <c r="C221" s="14"/>
      <c r="D221" s="15"/>
      <c r="E221" s="15"/>
      <c r="F221" s="15"/>
      <c r="G221" s="12"/>
    </row>
    <row r="222">
      <c r="A222" s="12"/>
      <c r="B222" s="14"/>
      <c r="C222" s="14"/>
      <c r="D222" s="15"/>
      <c r="E222" s="15"/>
      <c r="F222" s="15"/>
      <c r="G222" s="12"/>
    </row>
    <row r="223">
      <c r="A223" s="12"/>
      <c r="B223" s="14"/>
      <c r="C223" s="14"/>
      <c r="D223" s="15"/>
      <c r="E223" s="15"/>
      <c r="F223" s="15"/>
      <c r="G223" s="12"/>
    </row>
    <row r="224">
      <c r="A224" s="12"/>
      <c r="B224" s="14"/>
      <c r="C224" s="14"/>
      <c r="D224" s="15"/>
      <c r="E224" s="15"/>
      <c r="F224" s="15"/>
      <c r="G224" s="12"/>
    </row>
    <row r="225">
      <c r="A225" s="12"/>
      <c r="B225" s="14"/>
      <c r="C225" s="14"/>
      <c r="D225" s="15"/>
      <c r="E225" s="15"/>
      <c r="F225" s="15"/>
      <c r="G225" s="12"/>
    </row>
    <row r="226">
      <c r="A226" s="12"/>
      <c r="B226" s="14"/>
      <c r="C226" s="14"/>
      <c r="D226" s="15"/>
      <c r="E226" s="15"/>
      <c r="F226" s="15"/>
      <c r="G226" s="12"/>
    </row>
    <row r="227">
      <c r="A227" s="12"/>
      <c r="B227" s="14"/>
      <c r="C227" s="14"/>
      <c r="D227" s="15"/>
      <c r="E227" s="15"/>
      <c r="F227" s="15"/>
      <c r="G227" s="12"/>
    </row>
    <row r="228">
      <c r="A228" s="12"/>
      <c r="B228" s="14"/>
      <c r="C228" s="14"/>
      <c r="D228" s="15"/>
      <c r="E228" s="15"/>
      <c r="F228" s="15"/>
      <c r="G228" s="12"/>
    </row>
    <row r="229">
      <c r="A229" s="12"/>
      <c r="B229" s="14"/>
      <c r="C229" s="14"/>
      <c r="D229" s="15"/>
      <c r="E229" s="15"/>
      <c r="F229" s="15"/>
      <c r="G229" s="12"/>
    </row>
    <row r="230">
      <c r="A230" s="12"/>
      <c r="B230" s="14"/>
      <c r="C230" s="14"/>
      <c r="D230" s="15"/>
      <c r="E230" s="15"/>
      <c r="F230" s="15"/>
      <c r="G230" s="12"/>
    </row>
    <row r="231">
      <c r="A231" s="12"/>
      <c r="B231" s="14"/>
      <c r="C231" s="14"/>
      <c r="D231" s="15"/>
      <c r="E231" s="15"/>
      <c r="F231" s="15"/>
      <c r="G231" s="12"/>
    </row>
    <row r="232">
      <c r="A232" s="12"/>
      <c r="B232" s="14"/>
      <c r="C232" s="14"/>
      <c r="D232" s="15"/>
      <c r="E232" s="15"/>
      <c r="F232" s="15"/>
      <c r="G232" s="12"/>
    </row>
    <row r="233">
      <c r="A233" s="12"/>
      <c r="B233" s="14"/>
      <c r="C233" s="14"/>
      <c r="D233" s="15"/>
      <c r="E233" s="15"/>
      <c r="F233" s="15"/>
      <c r="G233" s="12"/>
    </row>
    <row r="234">
      <c r="A234" s="12"/>
      <c r="B234" s="14"/>
      <c r="C234" s="14"/>
      <c r="D234" s="15"/>
      <c r="E234" s="15"/>
      <c r="F234" s="15"/>
      <c r="G234" s="12"/>
    </row>
    <row r="235">
      <c r="A235" s="12"/>
      <c r="B235" s="14"/>
      <c r="C235" s="14"/>
      <c r="D235" s="15"/>
      <c r="E235" s="15"/>
      <c r="F235" s="15"/>
      <c r="G235" s="12"/>
    </row>
    <row r="236">
      <c r="A236" s="12"/>
      <c r="B236" s="14"/>
      <c r="C236" s="14"/>
      <c r="D236" s="15"/>
      <c r="E236" s="15"/>
      <c r="F236" s="15"/>
      <c r="G236" s="12"/>
    </row>
    <row r="237">
      <c r="A237" s="12"/>
      <c r="B237" s="14"/>
      <c r="C237" s="14"/>
      <c r="D237" s="15"/>
      <c r="E237" s="15"/>
      <c r="F237" s="15"/>
      <c r="G237" s="12"/>
    </row>
    <row r="238">
      <c r="A238" s="12"/>
      <c r="B238" s="14"/>
      <c r="C238" s="14"/>
      <c r="D238" s="15"/>
      <c r="E238" s="15"/>
      <c r="F238" s="15"/>
      <c r="G238" s="12"/>
    </row>
    <row r="239">
      <c r="A239" s="12"/>
      <c r="B239" s="14"/>
      <c r="C239" s="14"/>
      <c r="D239" s="15"/>
      <c r="E239" s="15"/>
      <c r="F239" s="15"/>
      <c r="G239" s="12"/>
    </row>
    <row r="240">
      <c r="A240" s="12"/>
      <c r="B240" s="14"/>
      <c r="C240" s="14"/>
      <c r="D240" s="15"/>
      <c r="E240" s="15"/>
      <c r="F240" s="15"/>
      <c r="G240" s="12"/>
    </row>
    <row r="241">
      <c r="A241" s="12"/>
      <c r="B241" s="14"/>
      <c r="C241" s="14"/>
      <c r="D241" s="15"/>
      <c r="E241" s="15"/>
      <c r="F241" s="15"/>
      <c r="G241" s="12"/>
    </row>
    <row r="242">
      <c r="A242" s="12"/>
      <c r="B242" s="14"/>
      <c r="C242" s="14"/>
      <c r="D242" s="15"/>
      <c r="E242" s="15"/>
      <c r="F242" s="15"/>
      <c r="G242" s="12"/>
    </row>
    <row r="243">
      <c r="A243" s="12"/>
      <c r="B243" s="14"/>
      <c r="C243" s="14"/>
      <c r="D243" s="15"/>
      <c r="E243" s="15"/>
      <c r="F243" s="15"/>
      <c r="G243" s="12"/>
    </row>
    <row r="244">
      <c r="A244" s="12"/>
      <c r="B244" s="14"/>
      <c r="C244" s="14"/>
      <c r="D244" s="15"/>
      <c r="E244" s="15"/>
      <c r="F244" s="15"/>
      <c r="G244" s="12"/>
    </row>
    <row r="245">
      <c r="A245" s="12"/>
      <c r="B245" s="14"/>
      <c r="C245" s="14"/>
      <c r="D245" s="15"/>
      <c r="E245" s="15"/>
      <c r="F245" s="15"/>
      <c r="G245" s="12"/>
    </row>
    <row r="246">
      <c r="A246" s="12"/>
      <c r="B246" s="14"/>
      <c r="C246" s="14"/>
      <c r="D246" s="15"/>
      <c r="E246" s="15"/>
      <c r="F246" s="15"/>
      <c r="G246" s="12"/>
    </row>
    <row r="247">
      <c r="A247" s="12"/>
      <c r="B247" s="14"/>
      <c r="C247" s="14"/>
      <c r="D247" s="15"/>
      <c r="E247" s="15"/>
      <c r="F247" s="15"/>
      <c r="G247" s="12"/>
    </row>
    <row r="248">
      <c r="A248" s="12"/>
      <c r="B248" s="14"/>
      <c r="C248" s="14"/>
      <c r="D248" s="15"/>
      <c r="E248" s="15"/>
      <c r="F248" s="15"/>
      <c r="G248" s="12"/>
    </row>
    <row r="249">
      <c r="A249" s="12"/>
      <c r="B249" s="14"/>
      <c r="C249" s="14"/>
      <c r="D249" s="15"/>
      <c r="E249" s="15"/>
      <c r="F249" s="15"/>
      <c r="G249" s="12"/>
    </row>
    <row r="250">
      <c r="A250" s="12"/>
      <c r="B250" s="14"/>
      <c r="C250" s="14"/>
      <c r="D250" s="15"/>
      <c r="E250" s="15"/>
      <c r="F250" s="15"/>
      <c r="G250" s="12"/>
    </row>
    <row r="251">
      <c r="A251" s="12"/>
      <c r="B251" s="14"/>
      <c r="C251" s="14"/>
      <c r="D251" s="15"/>
      <c r="E251" s="15"/>
      <c r="F251" s="15"/>
      <c r="G251" s="12"/>
    </row>
    <row r="252">
      <c r="A252" s="12"/>
      <c r="B252" s="14"/>
      <c r="C252" s="14"/>
      <c r="D252" s="15"/>
      <c r="E252" s="15"/>
      <c r="F252" s="15"/>
      <c r="G252" s="12"/>
    </row>
    <row r="253">
      <c r="A253" s="12"/>
      <c r="B253" s="14"/>
      <c r="C253" s="14"/>
      <c r="D253" s="15"/>
      <c r="E253" s="15"/>
      <c r="F253" s="15"/>
      <c r="G253" s="12"/>
    </row>
    <row r="254">
      <c r="A254" s="12"/>
      <c r="B254" s="14"/>
      <c r="C254" s="14"/>
      <c r="D254" s="15"/>
      <c r="E254" s="15"/>
      <c r="F254" s="15"/>
      <c r="G254" s="12"/>
    </row>
    <row r="255">
      <c r="A255" s="12"/>
      <c r="B255" s="14"/>
      <c r="C255" s="14"/>
      <c r="D255" s="15"/>
      <c r="E255" s="15"/>
      <c r="F255" s="15"/>
      <c r="G255" s="12"/>
    </row>
    <row r="256">
      <c r="A256" s="12"/>
      <c r="B256" s="14"/>
      <c r="C256" s="14"/>
      <c r="D256" s="15"/>
      <c r="E256" s="15"/>
      <c r="F256" s="15"/>
      <c r="G256" s="12"/>
    </row>
    <row r="257">
      <c r="A257" s="12"/>
      <c r="B257" s="14"/>
      <c r="C257" s="14"/>
      <c r="D257" s="15"/>
      <c r="E257" s="15"/>
      <c r="F257" s="15"/>
      <c r="G257" s="12"/>
    </row>
    <row r="258">
      <c r="A258" s="12"/>
      <c r="B258" s="14"/>
      <c r="C258" s="14"/>
      <c r="D258" s="15"/>
      <c r="E258" s="15"/>
      <c r="F258" s="15"/>
      <c r="G258" s="12"/>
    </row>
    <row r="259">
      <c r="A259" s="12"/>
      <c r="B259" s="14"/>
      <c r="C259" s="14"/>
      <c r="D259" s="15"/>
      <c r="E259" s="15"/>
      <c r="F259" s="15"/>
      <c r="G259" s="12"/>
    </row>
    <row r="260">
      <c r="A260" s="12"/>
      <c r="B260" s="14"/>
      <c r="C260" s="14"/>
      <c r="D260" s="15"/>
      <c r="E260" s="15"/>
      <c r="F260" s="15"/>
      <c r="G260" s="12"/>
    </row>
    <row r="261">
      <c r="A261" s="12"/>
      <c r="B261" s="14"/>
      <c r="C261" s="14"/>
      <c r="D261" s="15"/>
      <c r="E261" s="15"/>
      <c r="F261" s="15"/>
      <c r="G261" s="12"/>
    </row>
    <row r="262">
      <c r="A262" s="12"/>
      <c r="B262" s="14"/>
      <c r="C262" s="14"/>
      <c r="D262" s="15"/>
      <c r="E262" s="15"/>
      <c r="F262" s="15"/>
      <c r="G262" s="12"/>
    </row>
    <row r="263">
      <c r="A263" s="12"/>
      <c r="B263" s="14"/>
      <c r="C263" s="14"/>
      <c r="D263" s="15"/>
      <c r="E263" s="15"/>
      <c r="F263" s="15"/>
      <c r="G263" s="12"/>
    </row>
    <row r="264">
      <c r="A264" s="12"/>
      <c r="B264" s="14"/>
      <c r="C264" s="14"/>
      <c r="D264" s="15"/>
      <c r="E264" s="15"/>
      <c r="F264" s="15"/>
      <c r="G264" s="12"/>
    </row>
    <row r="265">
      <c r="A265" s="12"/>
      <c r="B265" s="14"/>
      <c r="C265" s="14"/>
      <c r="D265" s="15"/>
      <c r="E265" s="15"/>
      <c r="F265" s="15"/>
      <c r="G265" s="12"/>
    </row>
    <row r="266">
      <c r="A266" s="12"/>
      <c r="B266" s="14"/>
      <c r="C266" s="14"/>
      <c r="D266" s="15"/>
      <c r="E266" s="15"/>
      <c r="F266" s="15"/>
      <c r="G266" s="12"/>
    </row>
    <row r="267">
      <c r="A267" s="12"/>
      <c r="B267" s="14"/>
      <c r="C267" s="14"/>
      <c r="D267" s="15"/>
      <c r="E267" s="15"/>
      <c r="F267" s="15"/>
      <c r="G267" s="12"/>
    </row>
    <row r="268">
      <c r="A268" s="12"/>
      <c r="B268" s="14"/>
      <c r="C268" s="14"/>
      <c r="D268" s="15"/>
      <c r="E268" s="15"/>
      <c r="F268" s="15"/>
      <c r="G268" s="12"/>
    </row>
    <row r="269">
      <c r="A269" s="12"/>
      <c r="B269" s="14"/>
      <c r="C269" s="14"/>
      <c r="D269" s="15"/>
      <c r="E269" s="15"/>
      <c r="F269" s="15"/>
      <c r="G269" s="12"/>
    </row>
    <row r="270">
      <c r="A270" s="12"/>
      <c r="B270" s="14"/>
      <c r="C270" s="14"/>
      <c r="D270" s="15"/>
      <c r="E270" s="15"/>
      <c r="F270" s="15"/>
      <c r="G270" s="12"/>
    </row>
    <row r="271">
      <c r="A271" s="12"/>
      <c r="B271" s="14"/>
      <c r="C271" s="14"/>
      <c r="D271" s="15"/>
      <c r="E271" s="15"/>
      <c r="F271" s="15"/>
      <c r="G271" s="12"/>
    </row>
    <row r="272">
      <c r="A272" s="12"/>
      <c r="B272" s="14"/>
      <c r="C272" s="14"/>
      <c r="D272" s="15"/>
      <c r="E272" s="15"/>
      <c r="F272" s="15"/>
      <c r="G272" s="12"/>
    </row>
    <row r="273">
      <c r="A273" s="12"/>
      <c r="B273" s="14"/>
      <c r="C273" s="14"/>
      <c r="D273" s="15"/>
      <c r="E273" s="15"/>
      <c r="F273" s="15"/>
      <c r="G273" s="12"/>
    </row>
    <row r="274">
      <c r="A274" s="12"/>
      <c r="B274" s="14"/>
      <c r="C274" s="14"/>
      <c r="D274" s="15"/>
      <c r="E274" s="15"/>
      <c r="F274" s="15"/>
      <c r="G274" s="12"/>
    </row>
    <row r="275">
      <c r="A275" s="12"/>
      <c r="B275" s="14"/>
      <c r="C275" s="14"/>
      <c r="D275" s="15"/>
      <c r="E275" s="15"/>
      <c r="F275" s="15"/>
      <c r="G275" s="12"/>
    </row>
    <row r="276">
      <c r="A276" s="12"/>
      <c r="B276" s="14"/>
      <c r="C276" s="14"/>
      <c r="D276" s="15"/>
      <c r="E276" s="15"/>
      <c r="F276" s="15"/>
      <c r="G276" s="12"/>
    </row>
    <row r="277">
      <c r="A277" s="12"/>
      <c r="B277" s="14"/>
      <c r="C277" s="14"/>
      <c r="D277" s="15"/>
      <c r="E277" s="15"/>
      <c r="F277" s="15"/>
      <c r="G277" s="12"/>
    </row>
    <row r="278">
      <c r="A278" s="12"/>
      <c r="B278" s="14"/>
      <c r="C278" s="14"/>
      <c r="D278" s="15"/>
      <c r="E278" s="15"/>
      <c r="F278" s="15"/>
      <c r="G278" s="12"/>
    </row>
    <row r="279">
      <c r="A279" s="12"/>
      <c r="B279" s="14"/>
      <c r="C279" s="14"/>
      <c r="D279" s="15"/>
      <c r="E279" s="15"/>
      <c r="F279" s="15"/>
      <c r="G279" s="12"/>
    </row>
    <row r="280">
      <c r="A280" s="12"/>
      <c r="B280" s="14"/>
      <c r="C280" s="14"/>
      <c r="D280" s="15"/>
      <c r="E280" s="15"/>
      <c r="F280" s="15"/>
      <c r="G280" s="12"/>
    </row>
    <row r="281">
      <c r="A281" s="12"/>
      <c r="B281" s="14"/>
      <c r="C281" s="14"/>
      <c r="D281" s="15"/>
      <c r="E281" s="15"/>
      <c r="F281" s="15"/>
      <c r="G281" s="12"/>
    </row>
    <row r="282">
      <c r="A282" s="12"/>
      <c r="B282" s="14"/>
      <c r="C282" s="14"/>
      <c r="D282" s="15"/>
      <c r="E282" s="15"/>
      <c r="F282" s="15"/>
      <c r="G282" s="12"/>
    </row>
    <row r="283">
      <c r="A283" s="12"/>
      <c r="B283" s="14"/>
      <c r="C283" s="14"/>
      <c r="D283" s="15"/>
      <c r="E283" s="15"/>
      <c r="F283" s="15"/>
      <c r="G283" s="12"/>
    </row>
    <row r="284">
      <c r="A284" s="12"/>
      <c r="B284" s="14"/>
      <c r="C284" s="14"/>
      <c r="D284" s="15"/>
      <c r="E284" s="15"/>
      <c r="F284" s="15"/>
      <c r="G284" s="12"/>
    </row>
    <row r="285">
      <c r="A285" s="12"/>
      <c r="B285" s="14"/>
      <c r="C285" s="14"/>
      <c r="D285" s="15"/>
      <c r="E285" s="15"/>
      <c r="F285" s="15"/>
      <c r="G285" s="12"/>
    </row>
    <row r="286">
      <c r="A286" s="12"/>
      <c r="B286" s="14"/>
      <c r="C286" s="14"/>
      <c r="D286" s="15"/>
      <c r="E286" s="15"/>
      <c r="F286" s="15"/>
      <c r="G286" s="12"/>
    </row>
    <row r="287">
      <c r="A287" s="12"/>
      <c r="B287" s="14"/>
      <c r="C287" s="14"/>
      <c r="D287" s="15"/>
      <c r="E287" s="15"/>
      <c r="F287" s="15"/>
      <c r="G287" s="12"/>
    </row>
    <row r="288">
      <c r="A288" s="12"/>
      <c r="B288" s="14"/>
      <c r="C288" s="14"/>
      <c r="D288" s="15"/>
      <c r="E288" s="15"/>
      <c r="F288" s="15"/>
      <c r="G288" s="12"/>
    </row>
    <row r="289">
      <c r="A289" s="12"/>
      <c r="B289" s="14"/>
      <c r="C289" s="14"/>
      <c r="D289" s="15"/>
      <c r="E289" s="15"/>
      <c r="F289" s="15"/>
      <c r="G289" s="12"/>
    </row>
    <row r="290">
      <c r="A290" s="12"/>
      <c r="B290" s="14"/>
      <c r="C290" s="14"/>
      <c r="D290" s="15"/>
      <c r="E290" s="15"/>
      <c r="F290" s="15"/>
      <c r="G290" s="12"/>
    </row>
    <row r="291">
      <c r="A291" s="12"/>
      <c r="B291" s="14"/>
      <c r="C291" s="14"/>
      <c r="D291" s="15"/>
      <c r="E291" s="15"/>
      <c r="F291" s="15"/>
      <c r="G291" s="12"/>
    </row>
    <row r="292">
      <c r="A292" s="12"/>
      <c r="B292" s="14"/>
      <c r="C292" s="14"/>
      <c r="D292" s="15"/>
      <c r="E292" s="15"/>
      <c r="F292" s="15"/>
      <c r="G292" s="12"/>
    </row>
    <row r="293">
      <c r="A293" s="12"/>
      <c r="B293" s="14"/>
      <c r="C293" s="14"/>
      <c r="D293" s="15"/>
      <c r="E293" s="15"/>
      <c r="F293" s="15"/>
      <c r="G293" s="12"/>
    </row>
    <row r="294">
      <c r="A294" s="12"/>
      <c r="B294" s="14"/>
      <c r="C294" s="14"/>
      <c r="D294" s="15"/>
      <c r="E294" s="15"/>
      <c r="F294" s="15"/>
      <c r="G294" s="12"/>
    </row>
    <row r="295">
      <c r="A295" s="12"/>
      <c r="B295" s="14"/>
      <c r="C295" s="14"/>
      <c r="D295" s="15"/>
      <c r="E295" s="15"/>
      <c r="F295" s="15"/>
      <c r="G295" s="12"/>
    </row>
    <row r="296">
      <c r="A296" s="12"/>
      <c r="B296" s="14"/>
      <c r="C296" s="14"/>
      <c r="D296" s="15"/>
      <c r="E296" s="15"/>
      <c r="F296" s="15"/>
      <c r="G296" s="12"/>
    </row>
    <row r="297">
      <c r="A297" s="12"/>
      <c r="B297" s="14"/>
      <c r="C297" s="14"/>
      <c r="D297" s="15"/>
      <c r="E297" s="15"/>
      <c r="F297" s="15"/>
      <c r="G297" s="12"/>
    </row>
    <row r="298">
      <c r="A298" s="12"/>
      <c r="B298" s="14"/>
      <c r="C298" s="14"/>
      <c r="D298" s="15"/>
      <c r="E298" s="15"/>
      <c r="F298" s="15"/>
      <c r="G298" s="12"/>
    </row>
    <row r="299">
      <c r="A299" s="12"/>
      <c r="B299" s="14"/>
      <c r="C299" s="14"/>
      <c r="D299" s="15"/>
      <c r="E299" s="15"/>
      <c r="F299" s="15"/>
      <c r="G299" s="12"/>
    </row>
    <row r="300">
      <c r="A300" s="12"/>
      <c r="B300" s="14"/>
      <c r="C300" s="14"/>
      <c r="D300" s="15"/>
      <c r="E300" s="15"/>
      <c r="F300" s="15"/>
      <c r="G300" s="12"/>
    </row>
    <row r="301">
      <c r="A301" s="12"/>
      <c r="B301" s="14"/>
      <c r="C301" s="14"/>
      <c r="D301" s="15"/>
      <c r="E301" s="15"/>
      <c r="F301" s="15"/>
      <c r="G301" s="12"/>
    </row>
    <row r="302">
      <c r="A302" s="12"/>
      <c r="B302" s="14"/>
      <c r="C302" s="14"/>
      <c r="D302" s="15"/>
      <c r="E302" s="15"/>
      <c r="F302" s="15"/>
      <c r="G302" s="12"/>
    </row>
    <row r="303">
      <c r="A303" s="12"/>
      <c r="B303" s="14"/>
      <c r="C303" s="14"/>
      <c r="D303" s="15"/>
      <c r="E303" s="15"/>
      <c r="F303" s="15"/>
      <c r="G303" s="12"/>
    </row>
    <row r="304">
      <c r="A304" s="12"/>
      <c r="B304" s="14"/>
      <c r="C304" s="14"/>
      <c r="D304" s="15"/>
      <c r="E304" s="15"/>
      <c r="F304" s="15"/>
      <c r="G304" s="12"/>
    </row>
    <row r="305">
      <c r="A305" s="12"/>
      <c r="B305" s="14"/>
      <c r="C305" s="14"/>
      <c r="D305" s="15"/>
      <c r="E305" s="15"/>
      <c r="F305" s="15"/>
      <c r="G305" s="12"/>
    </row>
    <row r="306">
      <c r="A306" s="12"/>
      <c r="B306" s="14"/>
      <c r="C306" s="14"/>
      <c r="D306" s="15"/>
      <c r="E306" s="15"/>
      <c r="F306" s="15"/>
      <c r="G306" s="12"/>
    </row>
    <row r="307">
      <c r="A307" s="12"/>
      <c r="B307" s="14"/>
      <c r="C307" s="14"/>
      <c r="D307" s="15"/>
      <c r="E307" s="15"/>
      <c r="F307" s="15"/>
      <c r="G307" s="12"/>
    </row>
    <row r="308">
      <c r="A308" s="12"/>
      <c r="B308" s="14"/>
      <c r="C308" s="14"/>
      <c r="D308" s="15"/>
      <c r="E308" s="15"/>
      <c r="F308" s="15"/>
      <c r="G308" s="12"/>
    </row>
    <row r="309">
      <c r="A309" s="12"/>
      <c r="B309" s="14"/>
      <c r="C309" s="14"/>
      <c r="D309" s="15"/>
      <c r="E309" s="15"/>
      <c r="F309" s="15"/>
      <c r="G309" s="12"/>
    </row>
    <row r="310">
      <c r="A310" s="12"/>
      <c r="B310" s="14"/>
      <c r="C310" s="14"/>
      <c r="D310" s="15"/>
      <c r="E310" s="15"/>
      <c r="F310" s="15"/>
      <c r="G310" s="12"/>
    </row>
    <row r="311">
      <c r="A311" s="12"/>
      <c r="B311" s="14"/>
      <c r="C311" s="14"/>
      <c r="D311" s="15"/>
      <c r="E311" s="15"/>
      <c r="F311" s="15"/>
      <c r="G311" s="12"/>
    </row>
    <row r="312">
      <c r="A312" s="12"/>
      <c r="B312" s="14"/>
      <c r="C312" s="14"/>
      <c r="D312" s="15"/>
      <c r="E312" s="15"/>
      <c r="F312" s="15"/>
      <c r="G312" s="12"/>
    </row>
    <row r="313">
      <c r="A313" s="12"/>
      <c r="B313" s="14"/>
      <c r="C313" s="14"/>
      <c r="D313" s="15"/>
      <c r="E313" s="15"/>
      <c r="F313" s="15"/>
      <c r="G313" s="12"/>
    </row>
    <row r="314">
      <c r="A314" s="12"/>
      <c r="B314" s="14"/>
      <c r="C314" s="14"/>
      <c r="D314" s="15"/>
      <c r="E314" s="15"/>
      <c r="F314" s="15"/>
      <c r="G314" s="12"/>
    </row>
    <row r="315">
      <c r="A315" s="12"/>
      <c r="B315" s="14"/>
      <c r="C315" s="14"/>
      <c r="D315" s="15"/>
      <c r="E315" s="15"/>
      <c r="F315" s="15"/>
      <c r="G315" s="12"/>
    </row>
    <row r="316">
      <c r="A316" s="12"/>
      <c r="B316" s="14"/>
      <c r="C316" s="14"/>
      <c r="D316" s="15"/>
      <c r="E316" s="15"/>
      <c r="F316" s="15"/>
      <c r="G316" s="12"/>
    </row>
    <row r="317">
      <c r="A317" s="12"/>
      <c r="B317" s="14"/>
      <c r="C317" s="14"/>
      <c r="D317" s="15"/>
      <c r="E317" s="15"/>
      <c r="F317" s="15"/>
      <c r="G317" s="12"/>
    </row>
    <row r="318">
      <c r="A318" s="12"/>
      <c r="B318" s="14"/>
      <c r="C318" s="14"/>
      <c r="D318" s="15"/>
      <c r="E318" s="15"/>
      <c r="F318" s="15"/>
      <c r="G318" s="12"/>
    </row>
    <row r="319">
      <c r="A319" s="12"/>
      <c r="B319" s="14"/>
      <c r="C319" s="14"/>
      <c r="D319" s="15"/>
      <c r="E319" s="15"/>
      <c r="F319" s="15"/>
      <c r="G319" s="12"/>
    </row>
    <row r="320">
      <c r="A320" s="12"/>
      <c r="B320" s="14"/>
      <c r="C320" s="14"/>
      <c r="D320" s="15"/>
      <c r="E320" s="15"/>
      <c r="F320" s="15"/>
      <c r="G320" s="12"/>
    </row>
    <row r="321">
      <c r="A321" s="12"/>
      <c r="B321" s="14"/>
      <c r="C321" s="14"/>
      <c r="D321" s="15"/>
      <c r="E321" s="15"/>
      <c r="F321" s="15"/>
      <c r="G321" s="12"/>
    </row>
    <row r="322">
      <c r="A322" s="12"/>
      <c r="B322" s="14"/>
      <c r="C322" s="14"/>
      <c r="D322" s="15"/>
      <c r="E322" s="15"/>
      <c r="F322" s="15"/>
      <c r="G322" s="12"/>
    </row>
    <row r="323">
      <c r="A323" s="12"/>
      <c r="B323" s="14"/>
      <c r="C323" s="14"/>
      <c r="D323" s="15"/>
      <c r="E323" s="15"/>
      <c r="F323" s="15"/>
      <c r="G323" s="12"/>
    </row>
    <row r="324">
      <c r="A324" s="12"/>
      <c r="B324" s="14"/>
      <c r="C324" s="14"/>
      <c r="D324" s="15"/>
      <c r="E324" s="15"/>
      <c r="F324" s="15"/>
      <c r="G324" s="12"/>
    </row>
    <row r="325">
      <c r="A325" s="12"/>
      <c r="B325" s="14"/>
      <c r="C325" s="14"/>
      <c r="D325" s="15"/>
      <c r="E325" s="15"/>
      <c r="F325" s="15"/>
      <c r="G325" s="12"/>
    </row>
    <row r="326">
      <c r="A326" s="12"/>
      <c r="B326" s="14"/>
      <c r="C326" s="14"/>
      <c r="D326" s="15"/>
      <c r="E326" s="15"/>
      <c r="F326" s="15"/>
      <c r="G326" s="12"/>
    </row>
    <row r="327">
      <c r="A327" s="12"/>
      <c r="B327" s="14"/>
      <c r="C327" s="14"/>
      <c r="D327" s="15"/>
      <c r="E327" s="15"/>
      <c r="F327" s="15"/>
      <c r="G327" s="12"/>
    </row>
    <row r="328">
      <c r="A328" s="12"/>
      <c r="B328" s="14"/>
      <c r="C328" s="14"/>
      <c r="D328" s="15"/>
      <c r="E328" s="15"/>
      <c r="F328" s="15"/>
      <c r="G328" s="12"/>
    </row>
    <row r="329">
      <c r="A329" s="12"/>
      <c r="B329" s="14"/>
      <c r="C329" s="14"/>
      <c r="D329" s="15"/>
      <c r="E329" s="15"/>
      <c r="F329" s="15"/>
      <c r="G329" s="12"/>
    </row>
    <row r="330">
      <c r="A330" s="12"/>
      <c r="B330" s="14"/>
      <c r="C330" s="14"/>
      <c r="D330" s="15"/>
      <c r="E330" s="15"/>
      <c r="F330" s="15"/>
      <c r="G330" s="12"/>
    </row>
    <row r="331">
      <c r="A331" s="12"/>
      <c r="B331" s="14"/>
      <c r="C331" s="14"/>
      <c r="D331" s="15"/>
      <c r="E331" s="15"/>
      <c r="F331" s="15"/>
      <c r="G331" s="12"/>
    </row>
    <row r="332">
      <c r="A332" s="12"/>
      <c r="B332" s="14"/>
      <c r="C332" s="14"/>
      <c r="D332" s="15"/>
      <c r="E332" s="15"/>
      <c r="F332" s="15"/>
      <c r="G332" s="12"/>
    </row>
    <row r="333">
      <c r="A333" s="12"/>
      <c r="B333" s="14"/>
      <c r="C333" s="14"/>
      <c r="D333" s="15"/>
      <c r="E333" s="15"/>
      <c r="F333" s="15"/>
      <c r="G333" s="12"/>
    </row>
    <row r="334">
      <c r="A334" s="12"/>
      <c r="B334" s="14"/>
      <c r="C334" s="14"/>
      <c r="D334" s="15"/>
      <c r="E334" s="15"/>
      <c r="F334" s="15"/>
      <c r="G334" s="12"/>
    </row>
    <row r="335">
      <c r="A335" s="12"/>
      <c r="B335" s="14"/>
      <c r="C335" s="14"/>
      <c r="D335" s="15"/>
      <c r="E335" s="15"/>
      <c r="F335" s="15"/>
      <c r="G335" s="12"/>
    </row>
    <row r="336">
      <c r="A336" s="12"/>
      <c r="B336" s="14"/>
      <c r="C336" s="14"/>
      <c r="D336" s="15"/>
      <c r="E336" s="15"/>
      <c r="F336" s="15"/>
      <c r="G336" s="12"/>
    </row>
    <row r="337">
      <c r="A337" s="12"/>
      <c r="B337" s="14"/>
      <c r="C337" s="14"/>
      <c r="D337" s="15"/>
      <c r="E337" s="15"/>
      <c r="F337" s="15"/>
      <c r="G337" s="12"/>
    </row>
    <row r="338">
      <c r="A338" s="12"/>
      <c r="B338" s="14"/>
      <c r="C338" s="14"/>
      <c r="D338" s="15"/>
      <c r="E338" s="15"/>
      <c r="F338" s="15"/>
      <c r="G338" s="12"/>
    </row>
    <row r="339">
      <c r="A339" s="12"/>
      <c r="B339" s="14"/>
      <c r="C339" s="14"/>
      <c r="D339" s="15"/>
      <c r="E339" s="15"/>
      <c r="F339" s="15"/>
      <c r="G339" s="12"/>
    </row>
    <row r="340">
      <c r="A340" s="12"/>
      <c r="B340" s="14"/>
      <c r="C340" s="14"/>
      <c r="D340" s="15"/>
      <c r="E340" s="15"/>
      <c r="F340" s="15"/>
      <c r="G340" s="12"/>
    </row>
    <row r="341">
      <c r="A341" s="12"/>
      <c r="B341" s="14"/>
      <c r="C341" s="14"/>
      <c r="D341" s="15"/>
      <c r="E341" s="15"/>
      <c r="F341" s="15"/>
      <c r="G341" s="12"/>
    </row>
    <row r="342">
      <c r="A342" s="12"/>
      <c r="B342" s="14"/>
      <c r="C342" s="14"/>
      <c r="D342" s="15"/>
      <c r="E342" s="15"/>
      <c r="F342" s="15"/>
      <c r="G342" s="12"/>
    </row>
    <row r="343">
      <c r="A343" s="12"/>
      <c r="B343" s="14"/>
      <c r="C343" s="14"/>
      <c r="D343" s="15"/>
      <c r="E343" s="15"/>
      <c r="F343" s="15"/>
      <c r="G343" s="12"/>
    </row>
    <row r="344">
      <c r="A344" s="12"/>
      <c r="B344" s="14"/>
      <c r="C344" s="14"/>
      <c r="D344" s="15"/>
      <c r="E344" s="15"/>
      <c r="F344" s="15"/>
      <c r="G344" s="12"/>
    </row>
    <row r="345">
      <c r="A345" s="12"/>
      <c r="B345" s="14"/>
      <c r="C345" s="14"/>
      <c r="D345" s="15"/>
      <c r="E345" s="15"/>
      <c r="F345" s="15"/>
      <c r="G345" s="12"/>
    </row>
    <row r="346">
      <c r="A346" s="12"/>
      <c r="B346" s="14"/>
      <c r="C346" s="14"/>
      <c r="D346" s="15"/>
      <c r="E346" s="15"/>
      <c r="F346" s="15"/>
      <c r="G346" s="12"/>
    </row>
    <row r="347">
      <c r="A347" s="12"/>
      <c r="B347" s="14"/>
      <c r="C347" s="14"/>
      <c r="D347" s="15"/>
      <c r="E347" s="15"/>
      <c r="F347" s="15"/>
      <c r="G347" s="12"/>
    </row>
    <row r="348">
      <c r="A348" s="12"/>
      <c r="B348" s="14"/>
      <c r="C348" s="14"/>
      <c r="D348" s="15"/>
      <c r="E348" s="15"/>
      <c r="F348" s="15"/>
      <c r="G348" s="12"/>
    </row>
    <row r="349">
      <c r="A349" s="12"/>
      <c r="B349" s="14"/>
      <c r="C349" s="14"/>
      <c r="D349" s="15"/>
      <c r="E349" s="15"/>
      <c r="F349" s="15"/>
      <c r="G349" s="12"/>
    </row>
    <row r="350">
      <c r="A350" s="12"/>
      <c r="B350" s="14"/>
      <c r="C350" s="14"/>
      <c r="D350" s="15"/>
      <c r="E350" s="15"/>
      <c r="F350" s="15"/>
      <c r="G350" s="12"/>
    </row>
    <row r="351">
      <c r="A351" s="12"/>
      <c r="B351" s="14"/>
      <c r="C351" s="14"/>
      <c r="D351" s="15"/>
      <c r="E351" s="15"/>
      <c r="F351" s="15"/>
      <c r="G351" s="12"/>
    </row>
    <row r="352">
      <c r="A352" s="12"/>
      <c r="B352" s="14"/>
      <c r="C352" s="14"/>
      <c r="D352" s="15"/>
      <c r="E352" s="15"/>
      <c r="F352" s="15"/>
      <c r="G352" s="12"/>
    </row>
    <row r="353">
      <c r="A353" s="12"/>
      <c r="B353" s="14"/>
      <c r="C353" s="14"/>
      <c r="D353" s="15"/>
      <c r="E353" s="15"/>
      <c r="F353" s="15"/>
      <c r="G353" s="12"/>
    </row>
    <row r="354">
      <c r="A354" s="12"/>
      <c r="B354" s="14"/>
      <c r="C354" s="14"/>
      <c r="D354" s="15"/>
      <c r="E354" s="15"/>
      <c r="F354" s="15"/>
      <c r="G354" s="12"/>
    </row>
    <row r="355">
      <c r="A355" s="12"/>
      <c r="B355" s="14"/>
      <c r="C355" s="14"/>
      <c r="D355" s="15"/>
      <c r="E355" s="15"/>
      <c r="F355" s="15"/>
      <c r="G355" s="12"/>
    </row>
    <row r="356">
      <c r="A356" s="12"/>
      <c r="B356" s="14"/>
      <c r="C356" s="14"/>
      <c r="D356" s="15"/>
      <c r="E356" s="15"/>
      <c r="F356" s="15"/>
      <c r="G356" s="12"/>
    </row>
    <row r="357">
      <c r="A357" s="12"/>
      <c r="B357" s="14"/>
      <c r="C357" s="14"/>
      <c r="D357" s="15"/>
      <c r="E357" s="15"/>
      <c r="F357" s="15"/>
      <c r="G357" s="12"/>
    </row>
    <row r="358">
      <c r="A358" s="12"/>
      <c r="B358" s="14"/>
      <c r="C358" s="14"/>
      <c r="D358" s="15"/>
      <c r="E358" s="15"/>
      <c r="F358" s="15"/>
      <c r="G358" s="12"/>
    </row>
    <row r="359">
      <c r="A359" s="12"/>
      <c r="B359" s="14"/>
      <c r="C359" s="14"/>
      <c r="D359" s="15"/>
      <c r="E359" s="15"/>
      <c r="F359" s="15"/>
      <c r="G359" s="12"/>
    </row>
    <row r="360">
      <c r="A360" s="12"/>
      <c r="B360" s="14"/>
      <c r="C360" s="14"/>
      <c r="D360" s="15"/>
      <c r="E360" s="15"/>
      <c r="F360" s="15"/>
      <c r="G360" s="12"/>
    </row>
    <row r="361">
      <c r="A361" s="12"/>
      <c r="B361" s="14"/>
      <c r="C361" s="14"/>
      <c r="D361" s="15"/>
      <c r="E361" s="15"/>
      <c r="F361" s="15"/>
      <c r="G361" s="12"/>
    </row>
    <row r="362">
      <c r="A362" s="12"/>
      <c r="B362" s="14"/>
      <c r="C362" s="14"/>
      <c r="D362" s="15"/>
      <c r="E362" s="15"/>
      <c r="F362" s="15"/>
      <c r="G362" s="12"/>
    </row>
    <row r="363">
      <c r="A363" s="12"/>
      <c r="B363" s="14"/>
      <c r="C363" s="14"/>
      <c r="D363" s="15"/>
      <c r="E363" s="15"/>
      <c r="F363" s="15"/>
      <c r="G363" s="12"/>
    </row>
    <row r="364">
      <c r="A364" s="12"/>
      <c r="B364" s="14"/>
      <c r="C364" s="14"/>
      <c r="D364" s="15"/>
      <c r="E364" s="15"/>
      <c r="F364" s="15"/>
      <c r="G364" s="12"/>
    </row>
    <row r="365">
      <c r="A365" s="12"/>
      <c r="B365" s="14"/>
      <c r="C365" s="14"/>
      <c r="D365" s="15"/>
      <c r="E365" s="15"/>
      <c r="F365" s="15"/>
      <c r="G365" s="12"/>
    </row>
    <row r="366">
      <c r="A366" s="12"/>
      <c r="B366" s="14"/>
      <c r="C366" s="14"/>
      <c r="D366" s="15"/>
      <c r="E366" s="15"/>
      <c r="F366" s="15"/>
      <c r="G366" s="12"/>
    </row>
    <row r="367">
      <c r="A367" s="12"/>
      <c r="B367" s="14"/>
      <c r="C367" s="14"/>
      <c r="D367" s="15"/>
      <c r="E367" s="15"/>
      <c r="F367" s="15"/>
      <c r="G367" s="12"/>
    </row>
    <row r="368">
      <c r="A368" s="12"/>
      <c r="B368" s="14"/>
      <c r="C368" s="14"/>
      <c r="D368" s="15"/>
      <c r="E368" s="15"/>
      <c r="F368" s="15"/>
      <c r="G368" s="12"/>
    </row>
    <row r="369">
      <c r="A369" s="12"/>
      <c r="B369" s="14"/>
      <c r="C369" s="14"/>
      <c r="D369" s="15"/>
      <c r="E369" s="15"/>
      <c r="F369" s="15"/>
      <c r="G369" s="12"/>
    </row>
    <row r="370">
      <c r="A370" s="12"/>
      <c r="B370" s="14"/>
      <c r="C370" s="14"/>
      <c r="D370" s="15"/>
      <c r="E370" s="15"/>
      <c r="F370" s="15"/>
      <c r="G370" s="12"/>
    </row>
    <row r="371">
      <c r="A371" s="12"/>
      <c r="B371" s="14"/>
      <c r="C371" s="14"/>
      <c r="D371" s="15"/>
      <c r="E371" s="15"/>
      <c r="F371" s="15"/>
      <c r="G371" s="12"/>
    </row>
    <row r="372">
      <c r="A372" s="12"/>
      <c r="B372" s="14"/>
      <c r="C372" s="14"/>
      <c r="D372" s="15"/>
      <c r="E372" s="15"/>
      <c r="F372" s="15"/>
      <c r="G372" s="12"/>
    </row>
    <row r="373">
      <c r="A373" s="12"/>
      <c r="B373" s="14"/>
      <c r="C373" s="14"/>
      <c r="D373" s="15"/>
      <c r="E373" s="15"/>
      <c r="F373" s="15"/>
      <c r="G373" s="12"/>
    </row>
    <row r="374">
      <c r="A374" s="12"/>
      <c r="B374" s="14"/>
      <c r="C374" s="14"/>
      <c r="D374" s="15"/>
      <c r="E374" s="15"/>
      <c r="F374" s="15"/>
      <c r="G374" s="12"/>
    </row>
    <row r="375">
      <c r="A375" s="12"/>
      <c r="B375" s="14"/>
      <c r="C375" s="14"/>
      <c r="D375" s="15"/>
      <c r="E375" s="15"/>
      <c r="F375" s="15"/>
      <c r="G375" s="12"/>
    </row>
    <row r="376">
      <c r="A376" s="12"/>
      <c r="B376" s="14"/>
      <c r="C376" s="14"/>
      <c r="D376" s="15"/>
      <c r="E376" s="15"/>
      <c r="F376" s="15"/>
      <c r="G376" s="12"/>
    </row>
    <row r="377">
      <c r="A377" s="12"/>
      <c r="B377" s="14"/>
      <c r="C377" s="14"/>
      <c r="D377" s="15"/>
      <c r="E377" s="15"/>
      <c r="F377" s="15"/>
      <c r="G377" s="12"/>
    </row>
    <row r="378">
      <c r="A378" s="12"/>
      <c r="B378" s="14"/>
      <c r="C378" s="14"/>
      <c r="D378" s="15"/>
      <c r="E378" s="15"/>
      <c r="F378" s="15"/>
      <c r="G378" s="12"/>
    </row>
    <row r="379">
      <c r="A379" s="12"/>
      <c r="B379" s="14"/>
      <c r="C379" s="14"/>
      <c r="D379" s="15"/>
      <c r="E379" s="15"/>
      <c r="F379" s="15"/>
      <c r="G379" s="12"/>
    </row>
    <row r="380">
      <c r="A380" s="12"/>
      <c r="B380" s="14"/>
      <c r="C380" s="14"/>
      <c r="D380" s="15"/>
      <c r="E380" s="15"/>
      <c r="F380" s="15"/>
      <c r="G380" s="12"/>
    </row>
    <row r="381">
      <c r="A381" s="12"/>
      <c r="B381" s="14"/>
      <c r="C381" s="14"/>
      <c r="D381" s="15"/>
      <c r="E381" s="15"/>
      <c r="F381" s="15"/>
      <c r="G381" s="12"/>
    </row>
    <row r="382">
      <c r="A382" s="12"/>
      <c r="B382" s="14"/>
      <c r="C382" s="14"/>
      <c r="D382" s="15"/>
      <c r="E382" s="15"/>
      <c r="F382" s="15"/>
      <c r="G382" s="12"/>
    </row>
    <row r="383">
      <c r="A383" s="12"/>
      <c r="B383" s="14"/>
      <c r="C383" s="14"/>
      <c r="D383" s="15"/>
      <c r="E383" s="15"/>
      <c r="F383" s="15"/>
      <c r="G383" s="12"/>
    </row>
    <row r="384">
      <c r="A384" s="12"/>
      <c r="B384" s="14"/>
      <c r="C384" s="14"/>
      <c r="D384" s="15"/>
      <c r="E384" s="15"/>
      <c r="F384" s="15"/>
      <c r="G384" s="12"/>
    </row>
    <row r="385">
      <c r="A385" s="12"/>
      <c r="B385" s="14"/>
      <c r="C385" s="14"/>
      <c r="D385" s="15"/>
      <c r="E385" s="15"/>
      <c r="F385" s="15"/>
      <c r="G385" s="12"/>
    </row>
    <row r="386">
      <c r="A386" s="12"/>
      <c r="B386" s="14"/>
      <c r="C386" s="14"/>
      <c r="D386" s="15"/>
      <c r="E386" s="15"/>
      <c r="F386" s="15"/>
      <c r="G386" s="12"/>
    </row>
    <row r="387">
      <c r="A387" s="12"/>
      <c r="B387" s="14"/>
      <c r="C387" s="14"/>
      <c r="D387" s="15"/>
      <c r="E387" s="15"/>
      <c r="F387" s="15"/>
      <c r="G387" s="12"/>
    </row>
    <row r="388">
      <c r="A388" s="12"/>
      <c r="B388" s="14"/>
      <c r="C388" s="14"/>
      <c r="D388" s="15"/>
      <c r="E388" s="15"/>
      <c r="F388" s="15"/>
      <c r="G388" s="12"/>
    </row>
    <row r="389">
      <c r="A389" s="12"/>
      <c r="B389" s="14"/>
      <c r="C389" s="14"/>
      <c r="D389" s="15"/>
      <c r="E389" s="15"/>
      <c r="F389" s="15"/>
      <c r="G389" s="12"/>
    </row>
    <row r="390">
      <c r="A390" s="12"/>
      <c r="B390" s="14"/>
      <c r="C390" s="14"/>
      <c r="D390" s="15"/>
      <c r="E390" s="15"/>
      <c r="F390" s="15"/>
      <c r="G390" s="12"/>
    </row>
    <row r="391">
      <c r="A391" s="12"/>
      <c r="B391" s="14"/>
      <c r="C391" s="14"/>
      <c r="D391" s="15"/>
      <c r="E391" s="15"/>
      <c r="F391" s="15"/>
      <c r="G391" s="12"/>
    </row>
    <row r="392">
      <c r="A392" s="12"/>
      <c r="B392" s="14"/>
      <c r="C392" s="14"/>
      <c r="D392" s="15"/>
      <c r="E392" s="15"/>
      <c r="F392" s="15"/>
      <c r="G392" s="12"/>
    </row>
    <row r="393">
      <c r="A393" s="12"/>
      <c r="B393" s="14"/>
      <c r="C393" s="14"/>
      <c r="D393" s="15"/>
      <c r="E393" s="15"/>
      <c r="F393" s="15"/>
      <c r="G393" s="12"/>
    </row>
    <row r="394">
      <c r="A394" s="12"/>
      <c r="B394" s="14"/>
      <c r="C394" s="14"/>
      <c r="D394" s="15"/>
      <c r="E394" s="15"/>
      <c r="F394" s="15"/>
      <c r="G394" s="12"/>
    </row>
    <row r="395">
      <c r="A395" s="12"/>
      <c r="B395" s="14"/>
      <c r="C395" s="14"/>
      <c r="D395" s="15"/>
      <c r="E395" s="15"/>
      <c r="F395" s="15"/>
      <c r="G395" s="12"/>
    </row>
    <row r="396">
      <c r="A396" s="12"/>
      <c r="B396" s="14"/>
      <c r="C396" s="14"/>
      <c r="D396" s="15"/>
      <c r="E396" s="15"/>
      <c r="F396" s="15"/>
      <c r="G396" s="12"/>
    </row>
    <row r="397">
      <c r="A397" s="12"/>
      <c r="B397" s="14"/>
      <c r="C397" s="14"/>
      <c r="D397" s="15"/>
      <c r="E397" s="15"/>
      <c r="F397" s="15"/>
      <c r="G397" s="12"/>
    </row>
    <row r="398">
      <c r="A398" s="12"/>
      <c r="B398" s="14"/>
      <c r="C398" s="14"/>
      <c r="D398" s="15"/>
      <c r="E398" s="15"/>
      <c r="F398" s="15"/>
      <c r="G398" s="12"/>
    </row>
    <row r="399">
      <c r="A399" s="12"/>
      <c r="B399" s="14"/>
      <c r="C399" s="14"/>
      <c r="D399" s="15"/>
      <c r="E399" s="15"/>
      <c r="F399" s="15"/>
      <c r="G399" s="12"/>
    </row>
    <row r="400">
      <c r="A400" s="12"/>
      <c r="B400" s="14"/>
      <c r="C400" s="14"/>
      <c r="D400" s="15"/>
      <c r="E400" s="15"/>
      <c r="F400" s="15"/>
      <c r="G400" s="12"/>
    </row>
    <row r="401">
      <c r="A401" s="12"/>
      <c r="B401" s="14"/>
      <c r="C401" s="14"/>
      <c r="D401" s="15"/>
      <c r="E401" s="15"/>
      <c r="F401" s="15"/>
      <c r="G401" s="12"/>
    </row>
    <row r="402">
      <c r="A402" s="12"/>
      <c r="B402" s="14"/>
      <c r="C402" s="14"/>
      <c r="D402" s="15"/>
      <c r="E402" s="15"/>
      <c r="F402" s="15"/>
      <c r="G402" s="12"/>
    </row>
    <row r="403">
      <c r="A403" s="12"/>
      <c r="B403" s="14"/>
      <c r="C403" s="14"/>
      <c r="D403" s="15"/>
      <c r="E403" s="15"/>
      <c r="F403" s="15"/>
      <c r="G403" s="12"/>
    </row>
    <row r="404">
      <c r="A404" s="12"/>
      <c r="B404" s="14"/>
      <c r="C404" s="14"/>
      <c r="D404" s="15"/>
      <c r="E404" s="15"/>
      <c r="F404" s="15"/>
      <c r="G404" s="12"/>
    </row>
    <row r="405">
      <c r="A405" s="12"/>
      <c r="B405" s="14"/>
      <c r="C405" s="14"/>
      <c r="D405" s="15"/>
      <c r="E405" s="15"/>
      <c r="F405" s="15"/>
      <c r="G405" s="12"/>
    </row>
    <row r="406">
      <c r="A406" s="12"/>
      <c r="B406" s="14"/>
      <c r="C406" s="14"/>
      <c r="D406" s="15"/>
      <c r="E406" s="15"/>
      <c r="F406" s="15"/>
      <c r="G406" s="12"/>
    </row>
    <row r="407">
      <c r="A407" s="12"/>
      <c r="B407" s="14"/>
      <c r="C407" s="14"/>
      <c r="D407" s="15"/>
      <c r="E407" s="15"/>
      <c r="F407" s="15"/>
      <c r="G407" s="12"/>
    </row>
    <row r="408">
      <c r="A408" s="12"/>
      <c r="B408" s="14"/>
      <c r="C408" s="14"/>
      <c r="D408" s="15"/>
      <c r="E408" s="15"/>
      <c r="F408" s="15"/>
      <c r="G408" s="12"/>
    </row>
    <row r="409">
      <c r="A409" s="12"/>
      <c r="B409" s="14"/>
      <c r="C409" s="14"/>
      <c r="D409" s="15"/>
      <c r="E409" s="15"/>
      <c r="F409" s="15"/>
      <c r="G409" s="12"/>
    </row>
    <row r="410">
      <c r="A410" s="12"/>
      <c r="B410" s="14"/>
      <c r="C410" s="14"/>
      <c r="D410" s="15"/>
      <c r="E410" s="15"/>
      <c r="F410" s="15"/>
      <c r="G410" s="12"/>
    </row>
    <row r="411">
      <c r="A411" s="12"/>
      <c r="B411" s="14"/>
      <c r="C411" s="14"/>
      <c r="D411" s="15"/>
      <c r="E411" s="15"/>
      <c r="F411" s="15"/>
      <c r="G411" s="12"/>
    </row>
    <row r="412">
      <c r="A412" s="12"/>
      <c r="B412" s="14"/>
      <c r="C412" s="14"/>
      <c r="D412" s="15"/>
      <c r="E412" s="15"/>
      <c r="F412" s="15"/>
      <c r="G412" s="12"/>
    </row>
    <row r="413">
      <c r="A413" s="12"/>
      <c r="B413" s="14"/>
      <c r="C413" s="14"/>
      <c r="D413" s="15"/>
      <c r="E413" s="15"/>
      <c r="F413" s="15"/>
      <c r="G413" s="12"/>
    </row>
    <row r="414">
      <c r="A414" s="12"/>
      <c r="B414" s="14"/>
      <c r="C414" s="14"/>
      <c r="D414" s="15"/>
      <c r="E414" s="15"/>
      <c r="F414" s="15"/>
      <c r="G414" s="12"/>
    </row>
    <row r="415">
      <c r="A415" s="12"/>
      <c r="B415" s="14"/>
      <c r="C415" s="14"/>
      <c r="D415" s="15"/>
      <c r="E415" s="15"/>
      <c r="F415" s="15"/>
      <c r="G415" s="12"/>
    </row>
    <row r="416">
      <c r="A416" s="12"/>
      <c r="B416" s="14"/>
      <c r="C416" s="14"/>
      <c r="D416" s="15"/>
      <c r="E416" s="15"/>
      <c r="F416" s="15"/>
      <c r="G416" s="12"/>
    </row>
    <row r="417">
      <c r="A417" s="12"/>
      <c r="B417" s="14"/>
      <c r="C417" s="14"/>
      <c r="D417" s="15"/>
      <c r="E417" s="15"/>
      <c r="F417" s="15"/>
      <c r="G417" s="12"/>
    </row>
    <row r="418">
      <c r="A418" s="12"/>
      <c r="B418" s="14"/>
      <c r="C418" s="14"/>
      <c r="D418" s="15"/>
      <c r="E418" s="15"/>
      <c r="F418" s="15"/>
      <c r="G418" s="12"/>
    </row>
    <row r="419">
      <c r="A419" s="12"/>
      <c r="B419" s="14"/>
      <c r="C419" s="14"/>
      <c r="D419" s="15"/>
      <c r="E419" s="15"/>
      <c r="F419" s="15"/>
      <c r="G419" s="12"/>
    </row>
    <row r="420">
      <c r="A420" s="12"/>
      <c r="B420" s="14"/>
      <c r="C420" s="14"/>
      <c r="D420" s="15"/>
      <c r="E420" s="15"/>
      <c r="F420" s="15"/>
      <c r="G420" s="12"/>
    </row>
    <row r="421">
      <c r="A421" s="12"/>
      <c r="B421" s="14"/>
      <c r="C421" s="14"/>
      <c r="D421" s="15"/>
      <c r="E421" s="15"/>
      <c r="F421" s="15"/>
      <c r="G421" s="12"/>
    </row>
    <row r="422">
      <c r="A422" s="12"/>
      <c r="B422" s="14"/>
      <c r="C422" s="14"/>
      <c r="D422" s="15"/>
      <c r="E422" s="15"/>
      <c r="F422" s="15"/>
      <c r="G422" s="12"/>
    </row>
    <row r="423">
      <c r="A423" s="12"/>
      <c r="B423" s="14"/>
      <c r="C423" s="14"/>
      <c r="D423" s="15"/>
      <c r="E423" s="15"/>
      <c r="F423" s="15"/>
      <c r="G423" s="12"/>
    </row>
    <row r="424">
      <c r="A424" s="12"/>
      <c r="B424" s="14"/>
      <c r="C424" s="14"/>
      <c r="D424" s="15"/>
      <c r="E424" s="15"/>
      <c r="F424" s="15"/>
      <c r="G424" s="12"/>
    </row>
    <row r="425">
      <c r="A425" s="12"/>
      <c r="B425" s="14"/>
      <c r="C425" s="14"/>
      <c r="D425" s="15"/>
      <c r="E425" s="15"/>
      <c r="F425" s="15"/>
      <c r="G425" s="12"/>
    </row>
    <row r="426">
      <c r="A426" s="12"/>
      <c r="B426" s="14"/>
      <c r="C426" s="14"/>
      <c r="D426" s="15"/>
      <c r="E426" s="15"/>
      <c r="F426" s="15"/>
      <c r="G426" s="12"/>
    </row>
    <row r="427">
      <c r="A427" s="12"/>
      <c r="B427" s="14"/>
      <c r="C427" s="14"/>
      <c r="D427" s="15"/>
      <c r="E427" s="15"/>
      <c r="F427" s="15"/>
      <c r="G427" s="12"/>
    </row>
    <row r="428">
      <c r="A428" s="12"/>
      <c r="B428" s="14"/>
      <c r="C428" s="14"/>
      <c r="D428" s="15"/>
      <c r="E428" s="15"/>
      <c r="F428" s="15"/>
      <c r="G428" s="12"/>
    </row>
    <row r="429">
      <c r="A429" s="12"/>
      <c r="B429" s="14"/>
      <c r="C429" s="14"/>
      <c r="D429" s="15"/>
      <c r="E429" s="15"/>
      <c r="F429" s="15"/>
      <c r="G429" s="12"/>
    </row>
    <row r="430">
      <c r="A430" s="12"/>
      <c r="B430" s="14"/>
      <c r="C430" s="14"/>
      <c r="D430" s="15"/>
      <c r="E430" s="15"/>
      <c r="F430" s="15"/>
      <c r="G430" s="12"/>
    </row>
    <row r="431">
      <c r="A431" s="12"/>
      <c r="B431" s="14"/>
      <c r="C431" s="14"/>
      <c r="D431" s="15"/>
      <c r="E431" s="15"/>
      <c r="F431" s="15"/>
      <c r="G431" s="12"/>
    </row>
    <row r="432">
      <c r="A432" s="12"/>
      <c r="B432" s="14"/>
      <c r="C432" s="14"/>
      <c r="D432" s="15"/>
      <c r="E432" s="15"/>
      <c r="F432" s="15"/>
      <c r="G432" s="12"/>
    </row>
    <row r="433">
      <c r="A433" s="12"/>
      <c r="B433" s="14"/>
      <c r="C433" s="14"/>
      <c r="D433" s="15"/>
      <c r="E433" s="15"/>
      <c r="F433" s="15"/>
      <c r="G433" s="12"/>
    </row>
    <row r="434">
      <c r="A434" s="12"/>
      <c r="B434" s="14"/>
      <c r="C434" s="14"/>
      <c r="D434" s="15"/>
      <c r="E434" s="15"/>
      <c r="F434" s="15"/>
      <c r="G434" s="12"/>
    </row>
    <row r="435">
      <c r="A435" s="12"/>
      <c r="B435" s="14"/>
      <c r="C435" s="14"/>
      <c r="D435" s="15"/>
      <c r="E435" s="15"/>
      <c r="F435" s="15"/>
      <c r="G435" s="12"/>
    </row>
    <row r="436">
      <c r="A436" s="12"/>
      <c r="B436" s="14"/>
      <c r="C436" s="14"/>
      <c r="D436" s="15"/>
      <c r="E436" s="15"/>
      <c r="F436" s="15"/>
      <c r="G436" s="12"/>
    </row>
    <row r="437">
      <c r="A437" s="12"/>
      <c r="B437" s="14"/>
      <c r="C437" s="14"/>
      <c r="D437" s="15"/>
      <c r="E437" s="15"/>
      <c r="F437" s="15"/>
      <c r="G437" s="12"/>
    </row>
    <row r="438">
      <c r="A438" s="12"/>
      <c r="B438" s="14"/>
      <c r="C438" s="14"/>
      <c r="D438" s="15"/>
      <c r="E438" s="15"/>
      <c r="F438" s="15"/>
      <c r="G438" s="12"/>
    </row>
    <row r="439">
      <c r="A439" s="12"/>
      <c r="B439" s="14"/>
      <c r="C439" s="14"/>
      <c r="D439" s="15"/>
      <c r="E439" s="15"/>
      <c r="F439" s="15"/>
      <c r="G439" s="12"/>
    </row>
    <row r="440">
      <c r="A440" s="12"/>
      <c r="B440" s="14"/>
      <c r="C440" s="14"/>
      <c r="D440" s="15"/>
      <c r="E440" s="15"/>
      <c r="F440" s="15"/>
      <c r="G440" s="12"/>
    </row>
    <row r="441">
      <c r="A441" s="12"/>
      <c r="B441" s="14"/>
      <c r="C441" s="14"/>
      <c r="D441" s="15"/>
      <c r="E441" s="15"/>
      <c r="F441" s="15"/>
      <c r="G441" s="12"/>
    </row>
    <row r="442">
      <c r="A442" s="12"/>
      <c r="B442" s="14"/>
      <c r="C442" s="14"/>
      <c r="D442" s="15"/>
      <c r="E442" s="15"/>
      <c r="F442" s="15"/>
      <c r="G442" s="12"/>
    </row>
    <row r="443">
      <c r="A443" s="12"/>
      <c r="B443" s="14"/>
      <c r="C443" s="14"/>
      <c r="D443" s="15"/>
      <c r="E443" s="15"/>
      <c r="F443" s="15"/>
      <c r="G443" s="12"/>
    </row>
    <row r="444">
      <c r="A444" s="12"/>
      <c r="B444" s="14"/>
      <c r="C444" s="14"/>
      <c r="D444" s="15"/>
      <c r="E444" s="15"/>
      <c r="F444" s="15"/>
      <c r="G444" s="12"/>
    </row>
    <row r="445">
      <c r="A445" s="12"/>
      <c r="B445" s="14"/>
      <c r="C445" s="14"/>
      <c r="D445" s="15"/>
      <c r="E445" s="15"/>
      <c r="F445" s="15"/>
      <c r="G445" s="12"/>
    </row>
    <row r="446">
      <c r="A446" s="12"/>
      <c r="B446" s="14"/>
      <c r="C446" s="14"/>
      <c r="D446" s="15"/>
      <c r="E446" s="15"/>
      <c r="F446" s="15"/>
      <c r="G446" s="12"/>
    </row>
    <row r="447">
      <c r="A447" s="12"/>
      <c r="B447" s="14"/>
      <c r="C447" s="14"/>
      <c r="D447" s="15"/>
      <c r="E447" s="15"/>
      <c r="F447" s="15"/>
      <c r="G447" s="12"/>
    </row>
    <row r="448">
      <c r="A448" s="12"/>
      <c r="B448" s="14"/>
      <c r="C448" s="14"/>
      <c r="D448" s="15"/>
      <c r="E448" s="15"/>
      <c r="F448" s="15"/>
      <c r="G448" s="12"/>
    </row>
    <row r="449">
      <c r="A449" s="12"/>
      <c r="B449" s="14"/>
      <c r="C449" s="14"/>
      <c r="D449" s="15"/>
      <c r="E449" s="15"/>
      <c r="F449" s="15"/>
      <c r="G449" s="12"/>
    </row>
    <row r="450">
      <c r="A450" s="12"/>
      <c r="B450" s="14"/>
      <c r="C450" s="14"/>
      <c r="D450" s="15"/>
      <c r="E450" s="15"/>
      <c r="F450" s="15"/>
      <c r="G450" s="12"/>
    </row>
    <row r="451">
      <c r="A451" s="12"/>
      <c r="B451" s="14"/>
      <c r="C451" s="14"/>
      <c r="D451" s="15"/>
      <c r="E451" s="15"/>
      <c r="F451" s="15"/>
      <c r="G451" s="12"/>
    </row>
    <row r="452">
      <c r="A452" s="12"/>
      <c r="B452" s="14"/>
      <c r="C452" s="14"/>
      <c r="D452" s="15"/>
      <c r="E452" s="15"/>
      <c r="F452" s="15"/>
      <c r="G452" s="12"/>
    </row>
    <row r="453">
      <c r="A453" s="12"/>
      <c r="B453" s="14"/>
      <c r="C453" s="14"/>
      <c r="D453" s="15"/>
      <c r="E453" s="15"/>
      <c r="F453" s="15"/>
      <c r="G453" s="12"/>
    </row>
    <row r="454">
      <c r="A454" s="12"/>
      <c r="B454" s="14"/>
      <c r="C454" s="14"/>
      <c r="D454" s="15"/>
      <c r="E454" s="15"/>
      <c r="F454" s="15"/>
      <c r="G454" s="12"/>
    </row>
    <row r="455">
      <c r="A455" s="12"/>
      <c r="B455" s="14"/>
      <c r="C455" s="14"/>
      <c r="D455" s="15"/>
      <c r="E455" s="15"/>
      <c r="F455" s="15"/>
      <c r="G455" s="12"/>
    </row>
    <row r="456">
      <c r="A456" s="12"/>
      <c r="B456" s="14"/>
      <c r="C456" s="14"/>
      <c r="D456" s="15"/>
      <c r="E456" s="15"/>
      <c r="F456" s="15"/>
      <c r="G456" s="12"/>
    </row>
    <row r="457">
      <c r="A457" s="12"/>
      <c r="B457" s="14"/>
      <c r="C457" s="14"/>
      <c r="D457" s="15"/>
      <c r="E457" s="15"/>
      <c r="F457" s="15"/>
      <c r="G457" s="12"/>
    </row>
    <row r="458">
      <c r="A458" s="12"/>
      <c r="B458" s="14"/>
      <c r="C458" s="14"/>
      <c r="D458" s="15"/>
      <c r="E458" s="15"/>
      <c r="F458" s="15"/>
      <c r="G458" s="12"/>
    </row>
    <row r="459">
      <c r="A459" s="12"/>
      <c r="B459" s="14"/>
      <c r="C459" s="14"/>
      <c r="D459" s="15"/>
      <c r="E459" s="15"/>
      <c r="F459" s="15"/>
      <c r="G459" s="12"/>
    </row>
    <row r="460">
      <c r="A460" s="12"/>
      <c r="B460" s="14"/>
      <c r="C460" s="14"/>
      <c r="D460" s="15"/>
      <c r="E460" s="15"/>
      <c r="F460" s="15"/>
      <c r="G460" s="12"/>
    </row>
    <row r="461">
      <c r="A461" s="12"/>
      <c r="B461" s="14"/>
      <c r="C461" s="14"/>
      <c r="D461" s="15"/>
      <c r="E461" s="15"/>
      <c r="F461" s="15"/>
      <c r="G461" s="12"/>
    </row>
    <row r="462">
      <c r="A462" s="12"/>
      <c r="B462" s="14"/>
      <c r="C462" s="14"/>
      <c r="D462" s="15"/>
      <c r="E462" s="15"/>
      <c r="F462" s="15"/>
      <c r="G462" s="12"/>
    </row>
    <row r="463">
      <c r="A463" s="12"/>
      <c r="B463" s="14"/>
      <c r="C463" s="14"/>
      <c r="D463" s="15"/>
      <c r="E463" s="15"/>
      <c r="F463" s="15"/>
      <c r="G463" s="12"/>
    </row>
    <row r="464">
      <c r="A464" s="12"/>
      <c r="B464" s="14"/>
      <c r="C464" s="14"/>
      <c r="D464" s="15"/>
      <c r="E464" s="15"/>
      <c r="F464" s="15"/>
      <c r="G464" s="12"/>
    </row>
    <row r="465">
      <c r="A465" s="12"/>
      <c r="B465" s="14"/>
      <c r="C465" s="14"/>
      <c r="D465" s="15"/>
      <c r="E465" s="15"/>
      <c r="F465" s="15"/>
      <c r="G465" s="12"/>
    </row>
    <row r="466">
      <c r="A466" s="12"/>
      <c r="B466" s="14"/>
      <c r="C466" s="14"/>
      <c r="D466" s="15"/>
      <c r="E466" s="15"/>
      <c r="F466" s="15"/>
      <c r="G466" s="12"/>
    </row>
    <row r="467">
      <c r="A467" s="12"/>
      <c r="B467" s="14"/>
      <c r="C467" s="14"/>
      <c r="D467" s="15"/>
      <c r="E467" s="15"/>
      <c r="F467" s="15"/>
      <c r="G467" s="12"/>
    </row>
    <row r="468">
      <c r="A468" s="12"/>
      <c r="B468" s="14"/>
      <c r="C468" s="14"/>
      <c r="D468" s="15"/>
      <c r="E468" s="15"/>
      <c r="F468" s="15"/>
      <c r="G468" s="12"/>
    </row>
    <row r="469">
      <c r="A469" s="12"/>
      <c r="B469" s="14"/>
      <c r="C469" s="14"/>
      <c r="D469" s="15"/>
      <c r="E469" s="15"/>
      <c r="F469" s="15"/>
      <c r="G469" s="12"/>
    </row>
    <row r="470">
      <c r="A470" s="12"/>
      <c r="B470" s="14"/>
      <c r="C470" s="14"/>
      <c r="D470" s="15"/>
      <c r="E470" s="15"/>
      <c r="F470" s="15"/>
      <c r="G470" s="12"/>
    </row>
    <row r="471">
      <c r="A471" s="12"/>
      <c r="B471" s="14"/>
      <c r="C471" s="14"/>
      <c r="D471" s="15"/>
      <c r="E471" s="15"/>
      <c r="F471" s="15"/>
      <c r="G471" s="12"/>
    </row>
    <row r="472">
      <c r="A472" s="12"/>
      <c r="B472" s="14"/>
      <c r="C472" s="14"/>
      <c r="D472" s="15"/>
      <c r="E472" s="15"/>
      <c r="F472" s="15"/>
      <c r="G472" s="12"/>
    </row>
    <row r="473">
      <c r="A473" s="12"/>
      <c r="B473" s="14"/>
      <c r="C473" s="14"/>
      <c r="D473" s="15"/>
      <c r="E473" s="15"/>
      <c r="F473" s="15"/>
      <c r="G473" s="12"/>
    </row>
    <row r="474">
      <c r="A474" s="12"/>
      <c r="B474" s="14"/>
      <c r="C474" s="14"/>
      <c r="D474" s="15"/>
      <c r="E474" s="15"/>
      <c r="F474" s="15"/>
      <c r="G474" s="12"/>
    </row>
    <row r="475">
      <c r="A475" s="12"/>
      <c r="B475" s="14"/>
      <c r="C475" s="14"/>
      <c r="D475" s="15"/>
      <c r="E475" s="15"/>
      <c r="F475" s="15"/>
      <c r="G475" s="12"/>
    </row>
    <row r="476">
      <c r="A476" s="12"/>
      <c r="B476" s="14"/>
      <c r="C476" s="14"/>
      <c r="D476" s="15"/>
      <c r="E476" s="15"/>
      <c r="F476" s="15"/>
      <c r="G476" s="12"/>
    </row>
    <row r="477">
      <c r="A477" s="12"/>
      <c r="B477" s="14"/>
      <c r="C477" s="14"/>
      <c r="D477" s="15"/>
      <c r="E477" s="15"/>
      <c r="F477" s="15"/>
      <c r="G477" s="12"/>
    </row>
    <row r="478">
      <c r="A478" s="12"/>
      <c r="B478" s="14"/>
      <c r="C478" s="14"/>
      <c r="D478" s="15"/>
      <c r="E478" s="15"/>
      <c r="F478" s="15"/>
      <c r="G478" s="12"/>
    </row>
    <row r="479">
      <c r="A479" s="12"/>
      <c r="B479" s="14"/>
      <c r="C479" s="14"/>
      <c r="D479" s="15"/>
      <c r="E479" s="15"/>
      <c r="F479" s="15"/>
      <c r="G479" s="12"/>
    </row>
    <row r="480">
      <c r="A480" s="12"/>
      <c r="B480" s="14"/>
      <c r="C480" s="14"/>
      <c r="D480" s="15"/>
      <c r="E480" s="15"/>
      <c r="F480" s="15"/>
      <c r="G480" s="12"/>
    </row>
    <row r="481">
      <c r="A481" s="12"/>
      <c r="B481" s="14"/>
      <c r="C481" s="14"/>
      <c r="D481" s="15"/>
      <c r="E481" s="15"/>
      <c r="F481" s="15"/>
      <c r="G481" s="12"/>
    </row>
    <row r="482">
      <c r="A482" s="12"/>
      <c r="B482" s="14"/>
      <c r="C482" s="14"/>
      <c r="D482" s="15"/>
      <c r="E482" s="15"/>
      <c r="F482" s="15"/>
      <c r="G482" s="12"/>
    </row>
    <row r="483">
      <c r="A483" s="12"/>
      <c r="B483" s="14"/>
      <c r="C483" s="14"/>
      <c r="D483" s="15"/>
      <c r="E483" s="15"/>
      <c r="F483" s="15"/>
      <c r="G483" s="12"/>
    </row>
    <row r="484">
      <c r="A484" s="12"/>
      <c r="B484" s="14"/>
      <c r="C484" s="14"/>
      <c r="D484" s="15"/>
      <c r="E484" s="15"/>
      <c r="F484" s="15"/>
      <c r="G484" s="12"/>
    </row>
    <row r="485">
      <c r="A485" s="12"/>
      <c r="B485" s="14"/>
      <c r="C485" s="14"/>
      <c r="D485" s="15"/>
      <c r="E485" s="15"/>
      <c r="F485" s="15"/>
      <c r="G485" s="12"/>
    </row>
    <row r="486">
      <c r="A486" s="12"/>
      <c r="B486" s="14"/>
      <c r="C486" s="14"/>
      <c r="D486" s="15"/>
      <c r="E486" s="15"/>
      <c r="F486" s="15"/>
      <c r="G486" s="12"/>
    </row>
    <row r="487">
      <c r="A487" s="12"/>
      <c r="B487" s="14"/>
      <c r="C487" s="14"/>
      <c r="D487" s="15"/>
      <c r="E487" s="15"/>
      <c r="F487" s="15"/>
      <c r="G487" s="12"/>
    </row>
    <row r="488">
      <c r="A488" s="12"/>
      <c r="B488" s="14"/>
      <c r="C488" s="14"/>
      <c r="D488" s="15"/>
      <c r="E488" s="15"/>
      <c r="F488" s="15"/>
      <c r="G488" s="12"/>
    </row>
    <row r="489">
      <c r="A489" s="12"/>
      <c r="B489" s="14"/>
      <c r="C489" s="14"/>
      <c r="D489" s="15"/>
      <c r="E489" s="15"/>
      <c r="F489" s="15"/>
      <c r="G489" s="12"/>
    </row>
    <row r="490">
      <c r="A490" s="12"/>
      <c r="B490" s="14"/>
      <c r="C490" s="14"/>
      <c r="D490" s="15"/>
      <c r="E490" s="15"/>
      <c r="F490" s="15"/>
      <c r="G490" s="12"/>
    </row>
    <row r="491">
      <c r="A491" s="12"/>
      <c r="B491" s="14"/>
      <c r="C491" s="14"/>
      <c r="D491" s="15"/>
      <c r="E491" s="15"/>
      <c r="F491" s="15"/>
      <c r="G491" s="12"/>
    </row>
    <row r="492">
      <c r="A492" s="12"/>
      <c r="B492" s="14"/>
      <c r="C492" s="14"/>
      <c r="D492" s="15"/>
      <c r="E492" s="15"/>
      <c r="F492" s="15"/>
      <c r="G492" s="12"/>
    </row>
    <row r="493">
      <c r="A493" s="12"/>
      <c r="B493" s="14"/>
      <c r="C493" s="14"/>
      <c r="D493" s="15"/>
      <c r="E493" s="15"/>
      <c r="F493" s="15"/>
      <c r="G493" s="12"/>
    </row>
    <row r="494">
      <c r="A494" s="12"/>
      <c r="B494" s="14"/>
      <c r="C494" s="14"/>
      <c r="D494" s="15"/>
      <c r="E494" s="15"/>
      <c r="F494" s="15"/>
      <c r="G494" s="12"/>
    </row>
    <row r="495">
      <c r="A495" s="12"/>
      <c r="B495" s="14"/>
      <c r="C495" s="14"/>
      <c r="D495" s="15"/>
      <c r="E495" s="15"/>
      <c r="F495" s="15"/>
      <c r="G495" s="12"/>
    </row>
    <row r="496">
      <c r="A496" s="12"/>
      <c r="B496" s="14"/>
      <c r="C496" s="14"/>
      <c r="D496" s="15"/>
      <c r="E496" s="15"/>
      <c r="F496" s="15"/>
      <c r="G496" s="12"/>
    </row>
    <row r="497">
      <c r="A497" s="12"/>
      <c r="B497" s="14"/>
      <c r="C497" s="14"/>
      <c r="D497" s="15"/>
      <c r="E497" s="15"/>
      <c r="F497" s="15"/>
      <c r="G497" s="12"/>
    </row>
    <row r="498">
      <c r="A498" s="12"/>
      <c r="B498" s="14"/>
      <c r="C498" s="14"/>
      <c r="D498" s="15"/>
      <c r="E498" s="15"/>
      <c r="F498" s="15"/>
      <c r="G498" s="12"/>
    </row>
    <row r="499">
      <c r="A499" s="12"/>
      <c r="B499" s="14"/>
      <c r="C499" s="14"/>
      <c r="D499" s="15"/>
      <c r="E499" s="15"/>
      <c r="F499" s="15"/>
      <c r="G499" s="12"/>
    </row>
    <row r="500">
      <c r="A500" s="12"/>
      <c r="B500" s="14"/>
      <c r="C500" s="14"/>
      <c r="D500" s="15"/>
      <c r="E500" s="15"/>
      <c r="F500" s="15"/>
      <c r="G500" s="12"/>
    </row>
    <row r="501">
      <c r="A501" s="12"/>
      <c r="B501" s="14"/>
      <c r="C501" s="14"/>
      <c r="D501" s="15"/>
      <c r="E501" s="15"/>
      <c r="F501" s="15"/>
      <c r="G501" s="12"/>
    </row>
    <row r="502">
      <c r="A502" s="12"/>
      <c r="B502" s="14"/>
      <c r="C502" s="14"/>
      <c r="D502" s="15"/>
      <c r="E502" s="15"/>
      <c r="F502" s="15"/>
      <c r="G502" s="12"/>
    </row>
    <row r="503">
      <c r="A503" s="12"/>
      <c r="B503" s="14"/>
      <c r="C503" s="14"/>
      <c r="D503" s="15"/>
      <c r="E503" s="15"/>
      <c r="F503" s="15"/>
      <c r="G503" s="12"/>
    </row>
    <row r="504">
      <c r="A504" s="12"/>
      <c r="B504" s="14"/>
      <c r="C504" s="14"/>
      <c r="D504" s="15"/>
      <c r="E504" s="15"/>
      <c r="F504" s="15"/>
      <c r="G504" s="12"/>
    </row>
    <row r="505">
      <c r="A505" s="12"/>
      <c r="B505" s="14"/>
      <c r="C505" s="14"/>
      <c r="D505" s="15"/>
      <c r="E505" s="15"/>
      <c r="F505" s="15"/>
      <c r="G505" s="12"/>
    </row>
    <row r="506">
      <c r="A506" s="12"/>
      <c r="B506" s="14"/>
      <c r="C506" s="14"/>
      <c r="D506" s="15"/>
      <c r="E506" s="15"/>
      <c r="F506" s="15"/>
      <c r="G506" s="12"/>
    </row>
    <row r="507">
      <c r="A507" s="12"/>
      <c r="B507" s="14"/>
      <c r="C507" s="14"/>
      <c r="D507" s="15"/>
      <c r="E507" s="15"/>
      <c r="F507" s="15"/>
      <c r="G507" s="12"/>
    </row>
    <row r="508">
      <c r="A508" s="12"/>
      <c r="B508" s="14"/>
      <c r="C508" s="14"/>
      <c r="D508" s="15"/>
      <c r="E508" s="15"/>
      <c r="F508" s="15"/>
      <c r="G508" s="12"/>
    </row>
    <row r="509">
      <c r="A509" s="12"/>
      <c r="B509" s="14"/>
      <c r="C509" s="14"/>
      <c r="D509" s="15"/>
      <c r="E509" s="15"/>
      <c r="F509" s="15"/>
      <c r="G509" s="12"/>
    </row>
    <row r="510">
      <c r="A510" s="12"/>
      <c r="B510" s="14"/>
      <c r="C510" s="14"/>
      <c r="D510" s="15"/>
      <c r="E510" s="15"/>
      <c r="F510" s="15"/>
      <c r="G510" s="12"/>
    </row>
    <row r="511">
      <c r="A511" s="12"/>
      <c r="B511" s="14"/>
      <c r="C511" s="14"/>
      <c r="D511" s="15"/>
      <c r="E511" s="15"/>
      <c r="F511" s="15"/>
      <c r="G511" s="12"/>
    </row>
    <row r="512">
      <c r="A512" s="12"/>
      <c r="B512" s="14"/>
      <c r="C512" s="14"/>
      <c r="D512" s="15"/>
      <c r="E512" s="15"/>
      <c r="F512" s="15"/>
      <c r="G512" s="12"/>
    </row>
    <row r="513">
      <c r="A513" s="12"/>
      <c r="B513" s="14"/>
      <c r="C513" s="14"/>
      <c r="D513" s="15"/>
      <c r="E513" s="15"/>
      <c r="F513" s="15"/>
      <c r="G513" s="12"/>
    </row>
    <row r="514">
      <c r="A514" s="12"/>
      <c r="B514" s="14"/>
      <c r="C514" s="14"/>
      <c r="D514" s="15"/>
      <c r="E514" s="15"/>
      <c r="F514" s="15"/>
      <c r="G514" s="12"/>
    </row>
    <row r="515">
      <c r="A515" s="12"/>
      <c r="B515" s="14"/>
      <c r="C515" s="14"/>
      <c r="D515" s="15"/>
      <c r="E515" s="15"/>
      <c r="F515" s="15"/>
      <c r="G515" s="12"/>
    </row>
    <row r="516">
      <c r="A516" s="12"/>
      <c r="B516" s="14"/>
      <c r="C516" s="14"/>
      <c r="D516" s="15"/>
      <c r="E516" s="15"/>
      <c r="F516" s="15"/>
      <c r="G516" s="12"/>
    </row>
    <row r="517">
      <c r="A517" s="12"/>
      <c r="B517" s="14"/>
      <c r="C517" s="14"/>
      <c r="D517" s="15"/>
      <c r="E517" s="15"/>
      <c r="F517" s="15"/>
      <c r="G517" s="12"/>
    </row>
    <row r="518">
      <c r="A518" s="12"/>
      <c r="B518" s="14"/>
      <c r="C518" s="14"/>
      <c r="D518" s="15"/>
      <c r="E518" s="15"/>
      <c r="F518" s="15"/>
      <c r="G518" s="12"/>
    </row>
    <row r="519">
      <c r="A519" s="12"/>
      <c r="B519" s="14"/>
      <c r="C519" s="14"/>
      <c r="D519" s="15"/>
      <c r="E519" s="15"/>
      <c r="F519" s="15"/>
      <c r="G519" s="12"/>
    </row>
    <row r="520">
      <c r="A520" s="12"/>
      <c r="B520" s="14"/>
      <c r="C520" s="14"/>
      <c r="D520" s="15"/>
      <c r="E520" s="15"/>
      <c r="F520" s="15"/>
      <c r="G520" s="12"/>
    </row>
    <row r="521">
      <c r="A521" s="12"/>
      <c r="B521" s="14"/>
      <c r="C521" s="14"/>
      <c r="D521" s="15"/>
      <c r="E521" s="15"/>
      <c r="F521" s="15"/>
      <c r="G521" s="12"/>
    </row>
    <row r="522">
      <c r="A522" s="12"/>
      <c r="B522" s="14"/>
      <c r="C522" s="14"/>
      <c r="D522" s="15"/>
      <c r="E522" s="15"/>
      <c r="F522" s="15"/>
      <c r="G522" s="12"/>
    </row>
    <row r="523">
      <c r="A523" s="12"/>
      <c r="B523" s="14"/>
      <c r="C523" s="14"/>
      <c r="D523" s="15"/>
      <c r="E523" s="15"/>
      <c r="F523" s="15"/>
      <c r="G523" s="12"/>
    </row>
    <row r="524">
      <c r="A524" s="12"/>
      <c r="B524" s="14"/>
      <c r="C524" s="14"/>
      <c r="D524" s="15"/>
      <c r="E524" s="15"/>
      <c r="F524" s="15"/>
      <c r="G524" s="12"/>
    </row>
    <row r="525">
      <c r="A525" s="12"/>
      <c r="B525" s="14"/>
      <c r="C525" s="14"/>
      <c r="D525" s="15"/>
      <c r="E525" s="15"/>
      <c r="F525" s="15"/>
      <c r="G525" s="12"/>
    </row>
    <row r="526">
      <c r="A526" s="12"/>
      <c r="B526" s="14"/>
      <c r="C526" s="14"/>
      <c r="D526" s="15"/>
      <c r="E526" s="15"/>
      <c r="F526" s="15"/>
      <c r="G526" s="12"/>
    </row>
    <row r="527">
      <c r="A527" s="12"/>
      <c r="B527" s="14"/>
      <c r="C527" s="14"/>
      <c r="D527" s="15"/>
      <c r="E527" s="15"/>
      <c r="F527" s="15"/>
      <c r="G527" s="12"/>
    </row>
    <row r="528">
      <c r="A528" s="12"/>
      <c r="B528" s="14"/>
      <c r="C528" s="14"/>
      <c r="D528" s="15"/>
      <c r="E528" s="15"/>
      <c r="F528" s="15"/>
      <c r="G528" s="12"/>
    </row>
    <row r="529">
      <c r="A529" s="12"/>
      <c r="B529" s="14"/>
      <c r="C529" s="14"/>
      <c r="D529" s="15"/>
      <c r="E529" s="15"/>
      <c r="F529" s="15"/>
      <c r="G529" s="12"/>
    </row>
    <row r="530">
      <c r="A530" s="12"/>
      <c r="B530" s="14"/>
      <c r="C530" s="14"/>
      <c r="D530" s="15"/>
      <c r="E530" s="15"/>
      <c r="F530" s="15"/>
      <c r="G530" s="12"/>
    </row>
    <row r="531">
      <c r="A531" s="12"/>
      <c r="B531" s="14"/>
      <c r="C531" s="14"/>
      <c r="D531" s="15"/>
      <c r="E531" s="15"/>
      <c r="F531" s="15"/>
      <c r="G531" s="12"/>
    </row>
    <row r="532">
      <c r="A532" s="12"/>
      <c r="B532" s="14"/>
      <c r="C532" s="14"/>
      <c r="D532" s="15"/>
      <c r="E532" s="15"/>
      <c r="F532" s="15"/>
      <c r="G532" s="12"/>
    </row>
    <row r="533">
      <c r="A533" s="12"/>
      <c r="B533" s="14"/>
      <c r="C533" s="14"/>
      <c r="D533" s="15"/>
      <c r="E533" s="15"/>
      <c r="F533" s="15"/>
      <c r="G533" s="12"/>
    </row>
    <row r="534">
      <c r="A534" s="12"/>
      <c r="B534" s="14"/>
      <c r="C534" s="14"/>
      <c r="D534" s="15"/>
      <c r="E534" s="15"/>
      <c r="F534" s="15"/>
      <c r="G534" s="12"/>
    </row>
    <row r="535">
      <c r="A535" s="12"/>
      <c r="B535" s="14"/>
      <c r="C535" s="14"/>
      <c r="D535" s="15"/>
      <c r="E535" s="15"/>
      <c r="F535" s="15"/>
      <c r="G535" s="12"/>
    </row>
    <row r="536">
      <c r="A536" s="12"/>
      <c r="B536" s="14"/>
      <c r="C536" s="14"/>
      <c r="D536" s="15"/>
      <c r="E536" s="15"/>
      <c r="F536" s="15"/>
      <c r="G536" s="12"/>
    </row>
    <row r="537">
      <c r="A537" s="12"/>
      <c r="B537" s="14"/>
      <c r="C537" s="14"/>
      <c r="D537" s="15"/>
      <c r="E537" s="15"/>
      <c r="F537" s="15"/>
      <c r="G537" s="12"/>
    </row>
    <row r="538">
      <c r="A538" s="12"/>
      <c r="B538" s="14"/>
      <c r="C538" s="14"/>
      <c r="D538" s="15"/>
      <c r="E538" s="15"/>
      <c r="F538" s="15"/>
      <c r="G538" s="12"/>
    </row>
    <row r="539">
      <c r="A539" s="12"/>
      <c r="B539" s="14"/>
      <c r="C539" s="14"/>
      <c r="D539" s="15"/>
      <c r="E539" s="15"/>
      <c r="F539" s="15"/>
      <c r="G539" s="12"/>
    </row>
    <row r="540">
      <c r="A540" s="12"/>
      <c r="B540" s="14"/>
      <c r="C540" s="14"/>
      <c r="D540" s="15"/>
      <c r="E540" s="15"/>
      <c r="F540" s="15"/>
      <c r="G540" s="12"/>
    </row>
    <row r="541">
      <c r="A541" s="12"/>
      <c r="B541" s="14"/>
      <c r="C541" s="14"/>
      <c r="D541" s="15"/>
      <c r="E541" s="15"/>
      <c r="F541" s="15"/>
      <c r="G541" s="12"/>
    </row>
    <row r="542">
      <c r="A542" s="12"/>
      <c r="B542" s="14"/>
      <c r="C542" s="14"/>
      <c r="D542" s="15"/>
      <c r="E542" s="15"/>
      <c r="F542" s="15"/>
      <c r="G542" s="12"/>
    </row>
    <row r="543">
      <c r="A543" s="12"/>
      <c r="B543" s="14"/>
      <c r="C543" s="14"/>
      <c r="D543" s="15"/>
      <c r="E543" s="15"/>
      <c r="F543" s="15"/>
      <c r="G543" s="12"/>
    </row>
    <row r="544">
      <c r="A544" s="12"/>
      <c r="B544" s="14"/>
      <c r="C544" s="14"/>
      <c r="D544" s="15"/>
      <c r="E544" s="15"/>
      <c r="F544" s="15"/>
      <c r="G544" s="12"/>
    </row>
    <row r="545">
      <c r="A545" s="12"/>
      <c r="B545" s="14"/>
      <c r="C545" s="14"/>
      <c r="D545" s="15"/>
      <c r="E545" s="15"/>
      <c r="F545" s="15"/>
      <c r="G545" s="12"/>
    </row>
    <row r="546">
      <c r="A546" s="12"/>
      <c r="B546" s="14"/>
      <c r="C546" s="14"/>
      <c r="D546" s="15"/>
      <c r="E546" s="15"/>
      <c r="F546" s="15"/>
      <c r="G546" s="12"/>
    </row>
    <row r="547">
      <c r="A547" s="12"/>
      <c r="B547" s="14"/>
      <c r="C547" s="14"/>
      <c r="D547" s="15"/>
      <c r="E547" s="15"/>
      <c r="F547" s="15"/>
      <c r="G547" s="12"/>
    </row>
    <row r="548">
      <c r="A548" s="12"/>
      <c r="B548" s="14"/>
      <c r="C548" s="14"/>
      <c r="D548" s="15"/>
      <c r="E548" s="15"/>
      <c r="F548" s="15"/>
      <c r="G548" s="12"/>
    </row>
    <row r="549">
      <c r="A549" s="12"/>
      <c r="B549" s="14"/>
      <c r="C549" s="14"/>
      <c r="D549" s="15"/>
      <c r="E549" s="15"/>
      <c r="F549" s="15"/>
      <c r="G549" s="12"/>
    </row>
    <row r="550">
      <c r="A550" s="12"/>
      <c r="B550" s="14"/>
      <c r="C550" s="14"/>
      <c r="D550" s="15"/>
      <c r="E550" s="15"/>
      <c r="F550" s="15"/>
      <c r="G550" s="12"/>
    </row>
    <row r="551">
      <c r="A551" s="12"/>
      <c r="B551" s="14"/>
      <c r="C551" s="14"/>
      <c r="D551" s="15"/>
      <c r="E551" s="15"/>
      <c r="F551" s="15"/>
      <c r="G551" s="12"/>
    </row>
    <row r="552">
      <c r="A552" s="12"/>
      <c r="B552" s="14"/>
      <c r="C552" s="14"/>
      <c r="D552" s="15"/>
      <c r="E552" s="15"/>
      <c r="F552" s="15"/>
      <c r="G552" s="12"/>
    </row>
    <row r="553">
      <c r="A553" s="12"/>
      <c r="B553" s="14"/>
      <c r="C553" s="14"/>
      <c r="D553" s="15"/>
      <c r="E553" s="15"/>
      <c r="F553" s="15"/>
      <c r="G553" s="12"/>
    </row>
    <row r="554">
      <c r="A554" s="12"/>
      <c r="B554" s="14"/>
      <c r="C554" s="14"/>
      <c r="D554" s="15"/>
      <c r="E554" s="15"/>
      <c r="F554" s="15"/>
      <c r="G554" s="12"/>
    </row>
    <row r="555">
      <c r="A555" s="12"/>
      <c r="B555" s="14"/>
      <c r="C555" s="14"/>
      <c r="D555" s="15"/>
      <c r="E555" s="15"/>
      <c r="F555" s="15"/>
      <c r="G555" s="12"/>
    </row>
    <row r="556">
      <c r="A556" s="12"/>
      <c r="B556" s="14"/>
      <c r="C556" s="14"/>
      <c r="D556" s="15"/>
      <c r="E556" s="15"/>
      <c r="F556" s="15"/>
      <c r="G556" s="12"/>
    </row>
    <row r="557">
      <c r="A557" s="12"/>
      <c r="B557" s="14"/>
      <c r="C557" s="14"/>
      <c r="D557" s="15"/>
      <c r="E557" s="15"/>
      <c r="F557" s="15"/>
      <c r="G557" s="12"/>
    </row>
    <row r="558">
      <c r="A558" s="12"/>
      <c r="B558" s="14"/>
      <c r="C558" s="14"/>
      <c r="D558" s="15"/>
      <c r="E558" s="15"/>
      <c r="F558" s="15"/>
      <c r="G558" s="12"/>
    </row>
    <row r="559">
      <c r="A559" s="12"/>
      <c r="B559" s="14"/>
      <c r="C559" s="14"/>
      <c r="D559" s="15"/>
      <c r="E559" s="15"/>
      <c r="F559" s="15"/>
      <c r="G559" s="12"/>
    </row>
    <row r="560">
      <c r="A560" s="12"/>
      <c r="B560" s="14"/>
      <c r="C560" s="14"/>
      <c r="D560" s="15"/>
      <c r="E560" s="15"/>
      <c r="F560" s="15"/>
      <c r="G560" s="12"/>
    </row>
    <row r="561">
      <c r="A561" s="12"/>
      <c r="B561" s="14"/>
      <c r="C561" s="14"/>
      <c r="D561" s="15"/>
      <c r="E561" s="15"/>
      <c r="F561" s="15"/>
      <c r="G561" s="12"/>
    </row>
    <row r="562">
      <c r="A562" s="12"/>
      <c r="B562" s="14"/>
      <c r="C562" s="14"/>
      <c r="D562" s="15"/>
      <c r="E562" s="15"/>
      <c r="F562" s="15"/>
      <c r="G562" s="12"/>
    </row>
    <row r="563">
      <c r="A563" s="12"/>
      <c r="B563" s="14"/>
      <c r="C563" s="14"/>
      <c r="D563" s="15"/>
      <c r="E563" s="15"/>
      <c r="F563" s="15"/>
      <c r="G563" s="12"/>
    </row>
    <row r="564">
      <c r="A564" s="12"/>
      <c r="B564" s="14"/>
      <c r="C564" s="14"/>
      <c r="D564" s="15"/>
      <c r="E564" s="15"/>
      <c r="F564" s="15"/>
      <c r="G564" s="12"/>
    </row>
    <row r="565">
      <c r="A565" s="12"/>
      <c r="B565" s="14"/>
      <c r="C565" s="14"/>
      <c r="D565" s="15"/>
      <c r="E565" s="15"/>
      <c r="F565" s="15"/>
      <c r="G565" s="12"/>
    </row>
    <row r="566">
      <c r="A566" s="12"/>
      <c r="B566" s="14"/>
      <c r="C566" s="14"/>
      <c r="D566" s="15"/>
      <c r="E566" s="15"/>
      <c r="F566" s="15"/>
      <c r="G566" s="12"/>
    </row>
    <row r="567">
      <c r="A567" s="12"/>
      <c r="B567" s="14"/>
      <c r="C567" s="14"/>
      <c r="D567" s="15"/>
      <c r="E567" s="15"/>
      <c r="F567" s="15"/>
      <c r="G567" s="12"/>
    </row>
    <row r="568">
      <c r="A568" s="12"/>
      <c r="B568" s="14"/>
      <c r="C568" s="14"/>
      <c r="D568" s="15"/>
      <c r="E568" s="15"/>
      <c r="F568" s="15"/>
      <c r="G568" s="12"/>
    </row>
    <row r="569">
      <c r="A569" s="12"/>
      <c r="B569" s="14"/>
      <c r="C569" s="14"/>
      <c r="D569" s="15"/>
      <c r="E569" s="15"/>
      <c r="F569" s="15"/>
      <c r="G569" s="12"/>
    </row>
    <row r="570">
      <c r="A570" s="12"/>
      <c r="B570" s="14"/>
      <c r="C570" s="14"/>
      <c r="D570" s="15"/>
      <c r="E570" s="15"/>
      <c r="F570" s="15"/>
      <c r="G570" s="12"/>
    </row>
    <row r="571">
      <c r="A571" s="12"/>
      <c r="B571" s="14"/>
      <c r="C571" s="14"/>
      <c r="D571" s="15"/>
      <c r="E571" s="15"/>
      <c r="F571" s="15"/>
      <c r="G571" s="12"/>
    </row>
    <row r="572">
      <c r="A572" s="12"/>
      <c r="B572" s="14"/>
      <c r="C572" s="14"/>
      <c r="D572" s="15"/>
      <c r="E572" s="15"/>
      <c r="F572" s="15"/>
      <c r="G572" s="12"/>
    </row>
    <row r="573">
      <c r="A573" s="12"/>
      <c r="B573" s="14"/>
      <c r="C573" s="14"/>
      <c r="D573" s="15"/>
      <c r="E573" s="15"/>
      <c r="F573" s="15"/>
      <c r="G573" s="12"/>
    </row>
    <row r="574">
      <c r="A574" s="12"/>
      <c r="B574" s="14"/>
      <c r="C574" s="14"/>
      <c r="D574" s="15"/>
      <c r="E574" s="15"/>
      <c r="F574" s="15"/>
      <c r="G574" s="12"/>
    </row>
    <row r="575">
      <c r="A575" s="12"/>
      <c r="B575" s="14"/>
      <c r="C575" s="14"/>
      <c r="D575" s="15"/>
      <c r="E575" s="15"/>
      <c r="F575" s="15"/>
      <c r="G575" s="12"/>
    </row>
    <row r="576">
      <c r="A576" s="12"/>
      <c r="B576" s="14"/>
      <c r="C576" s="14"/>
      <c r="D576" s="15"/>
      <c r="E576" s="15"/>
      <c r="F576" s="15"/>
      <c r="G576" s="12"/>
    </row>
    <row r="577">
      <c r="A577" s="12"/>
      <c r="B577" s="14"/>
      <c r="C577" s="14"/>
      <c r="D577" s="15"/>
      <c r="E577" s="15"/>
      <c r="F577" s="15"/>
      <c r="G577" s="12"/>
    </row>
    <row r="578">
      <c r="A578" s="12"/>
      <c r="B578" s="14"/>
      <c r="C578" s="14"/>
      <c r="D578" s="15"/>
      <c r="E578" s="15"/>
      <c r="F578" s="15"/>
      <c r="G578" s="12"/>
    </row>
    <row r="579">
      <c r="A579" s="12"/>
      <c r="B579" s="14"/>
      <c r="C579" s="14"/>
      <c r="D579" s="15"/>
      <c r="E579" s="15"/>
      <c r="F579" s="15"/>
      <c r="G579" s="12"/>
    </row>
    <row r="580">
      <c r="A580" s="12"/>
      <c r="B580" s="14"/>
      <c r="C580" s="14"/>
      <c r="D580" s="15"/>
      <c r="E580" s="15"/>
      <c r="F580" s="15"/>
      <c r="G580" s="12"/>
    </row>
    <row r="581">
      <c r="A581" s="12"/>
      <c r="B581" s="14"/>
      <c r="C581" s="14"/>
      <c r="D581" s="15"/>
      <c r="E581" s="15"/>
      <c r="F581" s="15"/>
      <c r="G581" s="12"/>
    </row>
    <row r="582">
      <c r="A582" s="12"/>
      <c r="B582" s="14"/>
      <c r="C582" s="14"/>
      <c r="D582" s="15"/>
      <c r="E582" s="15"/>
      <c r="F582" s="15"/>
      <c r="G582" s="12"/>
    </row>
    <row r="583">
      <c r="A583" s="12"/>
      <c r="B583" s="14"/>
      <c r="C583" s="14"/>
      <c r="D583" s="15"/>
      <c r="E583" s="15"/>
      <c r="F583" s="15"/>
      <c r="G583" s="12"/>
    </row>
    <row r="584">
      <c r="A584" s="12"/>
      <c r="B584" s="14"/>
      <c r="C584" s="14"/>
      <c r="D584" s="15"/>
      <c r="E584" s="15"/>
      <c r="F584" s="15"/>
      <c r="G584" s="12"/>
    </row>
    <row r="585">
      <c r="A585" s="12"/>
      <c r="B585" s="14"/>
      <c r="C585" s="14"/>
      <c r="D585" s="15"/>
      <c r="E585" s="15"/>
      <c r="F585" s="15"/>
      <c r="G585" s="12"/>
    </row>
    <row r="586">
      <c r="A586" s="12"/>
      <c r="B586" s="14"/>
      <c r="C586" s="14"/>
      <c r="D586" s="15"/>
      <c r="E586" s="15"/>
      <c r="F586" s="15"/>
      <c r="G586" s="12"/>
    </row>
    <row r="587">
      <c r="A587" s="12"/>
      <c r="B587" s="14"/>
      <c r="C587" s="14"/>
      <c r="D587" s="15"/>
      <c r="E587" s="15"/>
      <c r="F587" s="15"/>
      <c r="G587" s="12"/>
    </row>
    <row r="588">
      <c r="A588" s="12"/>
      <c r="B588" s="14"/>
      <c r="C588" s="14"/>
      <c r="D588" s="15"/>
      <c r="E588" s="15"/>
      <c r="F588" s="15"/>
      <c r="G588" s="12"/>
    </row>
    <row r="589">
      <c r="A589" s="12"/>
      <c r="B589" s="14"/>
      <c r="C589" s="14"/>
      <c r="D589" s="15"/>
      <c r="E589" s="15"/>
      <c r="F589" s="15"/>
      <c r="G589" s="12"/>
    </row>
    <row r="590">
      <c r="A590" s="12"/>
      <c r="B590" s="14"/>
      <c r="C590" s="14"/>
      <c r="D590" s="15"/>
      <c r="E590" s="15"/>
      <c r="F590" s="15"/>
      <c r="G590" s="12"/>
    </row>
    <row r="591">
      <c r="A591" s="12"/>
      <c r="B591" s="14"/>
      <c r="C591" s="14"/>
      <c r="D591" s="15"/>
      <c r="E591" s="15"/>
      <c r="F591" s="15"/>
      <c r="G591" s="12"/>
    </row>
    <row r="592">
      <c r="A592" s="12"/>
      <c r="B592" s="14"/>
      <c r="C592" s="14"/>
      <c r="D592" s="15"/>
      <c r="E592" s="15"/>
      <c r="F592" s="15"/>
      <c r="G592" s="12"/>
    </row>
    <row r="593">
      <c r="A593" s="12"/>
      <c r="B593" s="14"/>
      <c r="C593" s="14"/>
      <c r="D593" s="15"/>
      <c r="E593" s="15"/>
      <c r="F593" s="15"/>
      <c r="G593" s="12"/>
    </row>
    <row r="594">
      <c r="A594" s="12"/>
      <c r="B594" s="14"/>
      <c r="C594" s="14"/>
      <c r="D594" s="15"/>
      <c r="E594" s="15"/>
      <c r="F594" s="15"/>
      <c r="G594" s="12"/>
    </row>
    <row r="595">
      <c r="A595" s="12"/>
      <c r="B595" s="14"/>
      <c r="C595" s="14"/>
      <c r="D595" s="15"/>
      <c r="E595" s="15"/>
      <c r="F595" s="15"/>
      <c r="G595" s="12"/>
    </row>
    <row r="596">
      <c r="A596" s="12"/>
      <c r="B596" s="14"/>
      <c r="C596" s="14"/>
      <c r="D596" s="15"/>
      <c r="E596" s="15"/>
      <c r="F596" s="15"/>
      <c r="G596" s="12"/>
    </row>
    <row r="597">
      <c r="A597" s="12"/>
      <c r="B597" s="14"/>
      <c r="C597" s="14"/>
      <c r="D597" s="15"/>
      <c r="E597" s="15"/>
      <c r="F597" s="15"/>
      <c r="G597" s="12"/>
    </row>
    <row r="598">
      <c r="A598" s="12"/>
      <c r="B598" s="14"/>
      <c r="C598" s="14"/>
      <c r="D598" s="15"/>
      <c r="E598" s="15"/>
      <c r="F598" s="15"/>
      <c r="G598" s="12"/>
    </row>
    <row r="599">
      <c r="A599" s="12"/>
      <c r="B599" s="14"/>
      <c r="C599" s="14"/>
      <c r="D599" s="15"/>
      <c r="E599" s="15"/>
      <c r="F599" s="15"/>
      <c r="G599" s="12"/>
    </row>
    <row r="600">
      <c r="A600" s="12"/>
      <c r="B600" s="14"/>
      <c r="C600" s="14"/>
      <c r="D600" s="15"/>
      <c r="E600" s="15"/>
      <c r="F600" s="15"/>
      <c r="G600" s="12"/>
    </row>
    <row r="601">
      <c r="A601" s="12"/>
      <c r="B601" s="14"/>
      <c r="C601" s="14"/>
      <c r="D601" s="15"/>
      <c r="E601" s="15"/>
      <c r="F601" s="15"/>
      <c r="G601" s="12"/>
    </row>
    <row r="602">
      <c r="A602" s="12"/>
      <c r="B602" s="14"/>
      <c r="C602" s="14"/>
      <c r="D602" s="15"/>
      <c r="E602" s="15"/>
      <c r="F602" s="15"/>
      <c r="G602" s="12"/>
    </row>
    <row r="603">
      <c r="A603" s="12"/>
      <c r="B603" s="14"/>
      <c r="C603" s="14"/>
      <c r="D603" s="15"/>
      <c r="E603" s="15"/>
      <c r="F603" s="15"/>
      <c r="G603" s="12"/>
    </row>
    <row r="604">
      <c r="A604" s="12"/>
      <c r="B604" s="14"/>
      <c r="C604" s="14"/>
      <c r="D604" s="15"/>
      <c r="E604" s="15"/>
      <c r="F604" s="15"/>
      <c r="G604" s="12"/>
    </row>
    <row r="605">
      <c r="A605" s="12"/>
      <c r="B605" s="14"/>
      <c r="C605" s="14"/>
      <c r="D605" s="15"/>
      <c r="E605" s="15"/>
      <c r="F605" s="15"/>
      <c r="G605" s="12"/>
    </row>
    <row r="606">
      <c r="A606" s="12"/>
      <c r="B606" s="14"/>
      <c r="C606" s="14"/>
      <c r="D606" s="15"/>
      <c r="E606" s="15"/>
      <c r="F606" s="15"/>
      <c r="G606" s="12"/>
    </row>
    <row r="607">
      <c r="A607" s="12"/>
      <c r="B607" s="14"/>
      <c r="C607" s="14"/>
      <c r="D607" s="15"/>
      <c r="E607" s="15"/>
      <c r="F607" s="15"/>
      <c r="G607" s="12"/>
    </row>
    <row r="608">
      <c r="A608" s="12"/>
      <c r="B608" s="14"/>
      <c r="C608" s="14"/>
      <c r="D608" s="15"/>
      <c r="E608" s="15"/>
      <c r="F608" s="15"/>
      <c r="G608" s="12"/>
    </row>
    <row r="609">
      <c r="A609" s="12"/>
      <c r="B609" s="14"/>
      <c r="C609" s="14"/>
      <c r="D609" s="15"/>
      <c r="E609" s="15"/>
      <c r="F609" s="15"/>
      <c r="G609" s="12"/>
    </row>
    <row r="610">
      <c r="A610" s="12"/>
      <c r="B610" s="14"/>
      <c r="C610" s="14"/>
      <c r="D610" s="15"/>
      <c r="E610" s="15"/>
      <c r="F610" s="15"/>
      <c r="G610" s="12"/>
    </row>
    <row r="611">
      <c r="A611" s="12"/>
      <c r="B611" s="14"/>
      <c r="C611" s="14"/>
      <c r="D611" s="15"/>
      <c r="E611" s="15"/>
      <c r="F611" s="15"/>
      <c r="G611" s="12"/>
    </row>
    <row r="612">
      <c r="A612" s="12"/>
      <c r="B612" s="14"/>
      <c r="C612" s="14"/>
      <c r="D612" s="15"/>
      <c r="E612" s="15"/>
      <c r="F612" s="15"/>
      <c r="G612" s="12"/>
    </row>
    <row r="613">
      <c r="A613" s="12"/>
      <c r="B613" s="14"/>
      <c r="C613" s="14"/>
      <c r="D613" s="15"/>
      <c r="E613" s="15"/>
      <c r="F613" s="15"/>
      <c r="G613" s="12"/>
    </row>
    <row r="614">
      <c r="A614" s="12"/>
      <c r="B614" s="14"/>
      <c r="C614" s="14"/>
      <c r="D614" s="15"/>
      <c r="E614" s="15"/>
      <c r="F614" s="15"/>
      <c r="G614" s="12"/>
    </row>
    <row r="615">
      <c r="A615" s="12"/>
      <c r="B615" s="14"/>
      <c r="C615" s="14"/>
      <c r="D615" s="15"/>
      <c r="E615" s="15"/>
      <c r="F615" s="15"/>
      <c r="G615" s="12"/>
    </row>
    <row r="616">
      <c r="A616" s="12"/>
      <c r="B616" s="14"/>
      <c r="C616" s="14"/>
      <c r="D616" s="15"/>
      <c r="E616" s="15"/>
      <c r="F616" s="15"/>
      <c r="G616" s="12"/>
    </row>
    <row r="617">
      <c r="A617" s="12"/>
      <c r="B617" s="14"/>
      <c r="C617" s="14"/>
      <c r="D617" s="15"/>
      <c r="E617" s="15"/>
      <c r="F617" s="15"/>
      <c r="G617" s="12"/>
    </row>
    <row r="618">
      <c r="A618" s="12"/>
      <c r="B618" s="14"/>
      <c r="C618" s="14"/>
      <c r="D618" s="15"/>
      <c r="E618" s="15"/>
      <c r="F618" s="15"/>
      <c r="G618" s="12"/>
    </row>
    <row r="619">
      <c r="A619" s="12"/>
      <c r="B619" s="14"/>
      <c r="C619" s="14"/>
      <c r="D619" s="15"/>
      <c r="E619" s="15"/>
      <c r="F619" s="15"/>
      <c r="G619" s="12"/>
    </row>
    <row r="620">
      <c r="A620" s="12"/>
      <c r="B620" s="14"/>
      <c r="C620" s="14"/>
      <c r="D620" s="15"/>
      <c r="E620" s="15"/>
      <c r="F620" s="15"/>
      <c r="G620" s="12"/>
    </row>
    <row r="621">
      <c r="A621" s="12"/>
      <c r="B621" s="14"/>
      <c r="C621" s="14"/>
      <c r="D621" s="15"/>
      <c r="E621" s="15"/>
      <c r="F621" s="15"/>
      <c r="G621" s="12"/>
    </row>
    <row r="622">
      <c r="A622" s="12"/>
      <c r="B622" s="14"/>
      <c r="C622" s="14"/>
      <c r="D622" s="15"/>
      <c r="E622" s="15"/>
      <c r="F622" s="15"/>
      <c r="G622" s="12"/>
    </row>
    <row r="623">
      <c r="A623" s="12"/>
      <c r="B623" s="14"/>
      <c r="C623" s="14"/>
      <c r="D623" s="15"/>
      <c r="E623" s="15"/>
      <c r="F623" s="15"/>
      <c r="G623" s="12"/>
    </row>
    <row r="624">
      <c r="A624" s="12"/>
      <c r="B624" s="14"/>
      <c r="C624" s="14"/>
      <c r="D624" s="15"/>
      <c r="E624" s="15"/>
      <c r="F624" s="15"/>
      <c r="G624" s="12"/>
    </row>
    <row r="625">
      <c r="A625" s="12"/>
      <c r="B625" s="14"/>
      <c r="C625" s="14"/>
      <c r="D625" s="15"/>
      <c r="E625" s="15"/>
      <c r="F625" s="15"/>
      <c r="G625" s="12"/>
    </row>
    <row r="626">
      <c r="A626" s="12"/>
      <c r="B626" s="14"/>
      <c r="C626" s="14"/>
      <c r="D626" s="15"/>
      <c r="E626" s="15"/>
      <c r="F626" s="15"/>
      <c r="G626" s="12"/>
    </row>
    <row r="627">
      <c r="A627" s="12"/>
      <c r="B627" s="14"/>
      <c r="C627" s="14"/>
      <c r="D627" s="15"/>
      <c r="E627" s="15"/>
      <c r="F627" s="15"/>
      <c r="G627" s="12"/>
    </row>
    <row r="628">
      <c r="A628" s="12"/>
      <c r="B628" s="14"/>
      <c r="C628" s="14"/>
      <c r="D628" s="15"/>
      <c r="E628" s="15"/>
      <c r="F628" s="15"/>
      <c r="G628" s="12"/>
    </row>
    <row r="629">
      <c r="A629" s="12"/>
      <c r="B629" s="14"/>
      <c r="C629" s="14"/>
      <c r="D629" s="15"/>
      <c r="E629" s="15"/>
      <c r="F629" s="15"/>
      <c r="G629" s="12"/>
    </row>
    <row r="630">
      <c r="A630" s="12"/>
      <c r="B630" s="14"/>
      <c r="C630" s="14"/>
      <c r="D630" s="15"/>
      <c r="E630" s="15"/>
      <c r="F630" s="15"/>
      <c r="G630" s="12"/>
    </row>
    <row r="631">
      <c r="A631" s="12"/>
      <c r="B631" s="14"/>
      <c r="C631" s="14"/>
      <c r="D631" s="15"/>
      <c r="E631" s="15"/>
      <c r="F631" s="15"/>
      <c r="G631" s="12"/>
    </row>
    <row r="632">
      <c r="A632" s="12"/>
      <c r="B632" s="14"/>
      <c r="C632" s="14"/>
      <c r="D632" s="15"/>
      <c r="E632" s="15"/>
      <c r="F632" s="15"/>
      <c r="G632" s="12"/>
    </row>
    <row r="633">
      <c r="A633" s="12"/>
      <c r="B633" s="14"/>
      <c r="C633" s="14"/>
      <c r="D633" s="15"/>
      <c r="E633" s="15"/>
      <c r="F633" s="15"/>
      <c r="G633" s="12"/>
    </row>
    <row r="634">
      <c r="A634" s="12"/>
      <c r="B634" s="14"/>
      <c r="C634" s="14"/>
      <c r="D634" s="15"/>
      <c r="E634" s="15"/>
      <c r="F634" s="15"/>
      <c r="G634" s="12"/>
    </row>
    <row r="635">
      <c r="A635" s="12"/>
      <c r="B635" s="14"/>
      <c r="C635" s="14"/>
      <c r="D635" s="15"/>
      <c r="E635" s="15"/>
      <c r="F635" s="15"/>
      <c r="G635" s="12"/>
    </row>
    <row r="636">
      <c r="A636" s="12"/>
      <c r="B636" s="14"/>
      <c r="C636" s="14"/>
      <c r="D636" s="15"/>
      <c r="E636" s="15"/>
      <c r="F636" s="15"/>
      <c r="G636" s="12"/>
    </row>
    <row r="637">
      <c r="A637" s="12"/>
      <c r="B637" s="14"/>
      <c r="C637" s="14"/>
      <c r="D637" s="15"/>
      <c r="E637" s="15"/>
      <c r="F637" s="15"/>
      <c r="G637" s="12"/>
    </row>
    <row r="638">
      <c r="A638" s="12"/>
      <c r="B638" s="14"/>
      <c r="C638" s="14"/>
      <c r="D638" s="15"/>
      <c r="E638" s="15"/>
      <c r="F638" s="15"/>
      <c r="G638" s="12"/>
    </row>
    <row r="639">
      <c r="A639" s="12"/>
      <c r="B639" s="14"/>
      <c r="C639" s="14"/>
      <c r="D639" s="15"/>
      <c r="E639" s="15"/>
      <c r="F639" s="15"/>
      <c r="G639" s="12"/>
    </row>
    <row r="640">
      <c r="A640" s="12"/>
      <c r="B640" s="14"/>
      <c r="C640" s="14"/>
      <c r="D640" s="15"/>
      <c r="E640" s="15"/>
      <c r="F640" s="15"/>
      <c r="G640" s="12"/>
    </row>
    <row r="641">
      <c r="A641" s="12"/>
      <c r="B641" s="14"/>
      <c r="C641" s="14"/>
      <c r="D641" s="15"/>
      <c r="E641" s="15"/>
      <c r="F641" s="15"/>
      <c r="G641" s="12"/>
    </row>
    <row r="642">
      <c r="A642" s="12"/>
      <c r="B642" s="14"/>
      <c r="C642" s="14"/>
      <c r="D642" s="15"/>
      <c r="E642" s="15"/>
      <c r="F642" s="15"/>
      <c r="G642" s="12"/>
    </row>
    <row r="643">
      <c r="A643" s="12"/>
      <c r="B643" s="14"/>
      <c r="C643" s="14"/>
      <c r="D643" s="15"/>
      <c r="E643" s="15"/>
      <c r="F643" s="15"/>
      <c r="G643" s="12"/>
    </row>
    <row r="644">
      <c r="A644" s="12"/>
      <c r="B644" s="14"/>
      <c r="C644" s="14"/>
      <c r="D644" s="15"/>
      <c r="E644" s="15"/>
      <c r="F644" s="15"/>
      <c r="G644" s="12"/>
    </row>
    <row r="645">
      <c r="A645" s="12"/>
      <c r="B645" s="14"/>
      <c r="C645" s="14"/>
      <c r="D645" s="15"/>
      <c r="E645" s="15"/>
      <c r="F645" s="15"/>
      <c r="G645" s="12"/>
    </row>
    <row r="646">
      <c r="A646" s="12"/>
      <c r="B646" s="14"/>
      <c r="C646" s="14"/>
      <c r="D646" s="15"/>
      <c r="E646" s="15"/>
      <c r="F646" s="15"/>
      <c r="G646" s="12"/>
    </row>
    <row r="647">
      <c r="A647" s="12"/>
      <c r="B647" s="14"/>
      <c r="C647" s="14"/>
      <c r="D647" s="15"/>
      <c r="E647" s="15"/>
      <c r="F647" s="15"/>
      <c r="G647" s="12"/>
    </row>
    <row r="648">
      <c r="A648" s="12"/>
      <c r="B648" s="14"/>
      <c r="C648" s="14"/>
      <c r="D648" s="15"/>
      <c r="E648" s="15"/>
      <c r="F648" s="15"/>
      <c r="G648" s="12"/>
    </row>
    <row r="649">
      <c r="A649" s="12"/>
      <c r="B649" s="14"/>
      <c r="C649" s="14"/>
      <c r="D649" s="15"/>
      <c r="E649" s="15"/>
      <c r="F649" s="15"/>
      <c r="G649" s="12"/>
    </row>
    <row r="650">
      <c r="A650" s="12"/>
      <c r="B650" s="14"/>
      <c r="C650" s="14"/>
      <c r="D650" s="15"/>
      <c r="E650" s="15"/>
      <c r="F650" s="15"/>
      <c r="G650" s="12"/>
    </row>
    <row r="651">
      <c r="A651" s="12"/>
      <c r="B651" s="14"/>
      <c r="C651" s="14"/>
      <c r="D651" s="15"/>
      <c r="E651" s="15"/>
      <c r="F651" s="15"/>
      <c r="G651" s="12"/>
    </row>
    <row r="652">
      <c r="A652" s="12"/>
      <c r="B652" s="14"/>
      <c r="C652" s="14"/>
      <c r="D652" s="15"/>
      <c r="E652" s="15"/>
      <c r="F652" s="15"/>
      <c r="G652" s="12"/>
    </row>
    <row r="653">
      <c r="A653" s="12"/>
      <c r="B653" s="14"/>
      <c r="C653" s="14"/>
      <c r="D653" s="15"/>
      <c r="E653" s="15"/>
      <c r="F653" s="15"/>
      <c r="G653" s="12"/>
    </row>
    <row r="654">
      <c r="A654" s="12"/>
      <c r="B654" s="14"/>
      <c r="C654" s="14"/>
      <c r="D654" s="15"/>
      <c r="E654" s="15"/>
      <c r="F654" s="15"/>
      <c r="G654" s="12"/>
    </row>
    <row r="655">
      <c r="A655" s="12"/>
      <c r="B655" s="14"/>
      <c r="C655" s="14"/>
      <c r="D655" s="15"/>
      <c r="E655" s="15"/>
      <c r="F655" s="15"/>
      <c r="G655" s="12"/>
    </row>
    <row r="656">
      <c r="A656" s="12"/>
      <c r="B656" s="14"/>
      <c r="C656" s="14"/>
      <c r="D656" s="15"/>
      <c r="E656" s="15"/>
      <c r="F656" s="15"/>
      <c r="G656" s="12"/>
    </row>
    <row r="657">
      <c r="A657" s="12"/>
      <c r="B657" s="14"/>
      <c r="C657" s="14"/>
      <c r="D657" s="15"/>
      <c r="E657" s="15"/>
      <c r="F657" s="15"/>
      <c r="G657" s="12"/>
    </row>
    <row r="658">
      <c r="A658" s="12"/>
      <c r="B658" s="14"/>
      <c r="C658" s="14"/>
      <c r="D658" s="15"/>
      <c r="E658" s="15"/>
      <c r="F658" s="15"/>
      <c r="G658" s="12"/>
    </row>
    <row r="659">
      <c r="A659" s="12"/>
      <c r="B659" s="14"/>
      <c r="C659" s="14"/>
      <c r="D659" s="15"/>
      <c r="E659" s="15"/>
      <c r="F659" s="15"/>
      <c r="G659" s="12"/>
    </row>
    <row r="660">
      <c r="A660" s="12"/>
      <c r="B660" s="14"/>
      <c r="C660" s="14"/>
      <c r="D660" s="15"/>
      <c r="E660" s="15"/>
      <c r="F660" s="15"/>
      <c r="G660" s="12"/>
    </row>
    <row r="661">
      <c r="A661" s="12"/>
      <c r="B661" s="14"/>
      <c r="C661" s="14"/>
      <c r="D661" s="15"/>
      <c r="E661" s="15"/>
      <c r="F661" s="15"/>
      <c r="G661" s="12"/>
    </row>
    <row r="662">
      <c r="A662" s="12"/>
      <c r="B662" s="14"/>
      <c r="C662" s="14"/>
      <c r="D662" s="15"/>
      <c r="E662" s="15"/>
      <c r="F662" s="15"/>
      <c r="G662" s="12"/>
    </row>
    <row r="663">
      <c r="A663" s="12"/>
      <c r="B663" s="14"/>
      <c r="C663" s="14"/>
      <c r="D663" s="15"/>
      <c r="E663" s="15"/>
      <c r="F663" s="15"/>
      <c r="G663" s="12"/>
    </row>
    <row r="664">
      <c r="A664" s="12"/>
      <c r="B664" s="14"/>
      <c r="C664" s="14"/>
      <c r="D664" s="15"/>
      <c r="E664" s="15"/>
      <c r="F664" s="15"/>
      <c r="G664" s="12"/>
    </row>
    <row r="665">
      <c r="A665" s="12"/>
      <c r="B665" s="14"/>
      <c r="C665" s="14"/>
      <c r="D665" s="15"/>
      <c r="E665" s="15"/>
      <c r="F665" s="15"/>
      <c r="G665" s="12"/>
    </row>
    <row r="666">
      <c r="A666" s="12"/>
      <c r="B666" s="14"/>
      <c r="C666" s="14"/>
      <c r="D666" s="15"/>
      <c r="E666" s="15"/>
      <c r="F666" s="15"/>
      <c r="G666" s="12"/>
    </row>
    <row r="667">
      <c r="A667" s="12"/>
      <c r="B667" s="14"/>
      <c r="C667" s="14"/>
      <c r="D667" s="15"/>
      <c r="E667" s="15"/>
      <c r="F667" s="15"/>
      <c r="G667" s="12"/>
    </row>
    <row r="668">
      <c r="A668" s="12"/>
      <c r="B668" s="14"/>
      <c r="C668" s="14"/>
      <c r="D668" s="15"/>
      <c r="E668" s="15"/>
      <c r="F668" s="15"/>
      <c r="G668" s="12"/>
    </row>
    <row r="669">
      <c r="A669" s="12"/>
      <c r="B669" s="14"/>
      <c r="C669" s="14"/>
      <c r="D669" s="15"/>
      <c r="E669" s="15"/>
      <c r="F669" s="15"/>
      <c r="G669" s="12"/>
    </row>
    <row r="670">
      <c r="A670" s="12"/>
      <c r="B670" s="14"/>
      <c r="C670" s="14"/>
      <c r="D670" s="15"/>
      <c r="E670" s="15"/>
      <c r="F670" s="15"/>
      <c r="G670" s="12"/>
    </row>
    <row r="671">
      <c r="A671" s="12"/>
      <c r="B671" s="14"/>
      <c r="C671" s="14"/>
      <c r="D671" s="15"/>
      <c r="E671" s="15"/>
      <c r="F671" s="15"/>
      <c r="G671" s="12"/>
    </row>
    <row r="672">
      <c r="A672" s="12"/>
      <c r="B672" s="14"/>
      <c r="C672" s="14"/>
      <c r="D672" s="15"/>
      <c r="E672" s="15"/>
      <c r="F672" s="15"/>
      <c r="G672" s="12"/>
    </row>
    <row r="673">
      <c r="A673" s="12"/>
      <c r="B673" s="14"/>
      <c r="C673" s="14"/>
      <c r="D673" s="15"/>
      <c r="E673" s="15"/>
      <c r="F673" s="15"/>
      <c r="G673" s="12"/>
    </row>
    <row r="674">
      <c r="A674" s="12"/>
      <c r="B674" s="14"/>
      <c r="C674" s="14"/>
      <c r="D674" s="15"/>
      <c r="E674" s="15"/>
      <c r="F674" s="15"/>
      <c r="G674" s="12"/>
    </row>
    <row r="675">
      <c r="A675" s="12"/>
      <c r="B675" s="14"/>
      <c r="C675" s="14"/>
      <c r="D675" s="15"/>
      <c r="E675" s="15"/>
      <c r="F675" s="15"/>
      <c r="G675" s="12"/>
    </row>
    <row r="676">
      <c r="A676" s="12"/>
      <c r="B676" s="14"/>
      <c r="C676" s="14"/>
      <c r="D676" s="15"/>
      <c r="E676" s="15"/>
      <c r="F676" s="15"/>
      <c r="G676" s="12"/>
    </row>
    <row r="677">
      <c r="A677" s="12"/>
      <c r="B677" s="14"/>
      <c r="C677" s="14"/>
      <c r="D677" s="15"/>
      <c r="E677" s="15"/>
      <c r="F677" s="15"/>
      <c r="G677" s="12"/>
    </row>
    <row r="678">
      <c r="A678" s="12"/>
      <c r="B678" s="14"/>
      <c r="C678" s="14"/>
      <c r="D678" s="15"/>
      <c r="E678" s="15"/>
      <c r="F678" s="15"/>
      <c r="G678" s="12"/>
    </row>
    <row r="679">
      <c r="A679" s="12"/>
      <c r="B679" s="14"/>
      <c r="C679" s="14"/>
      <c r="D679" s="15"/>
      <c r="E679" s="15"/>
      <c r="F679" s="15"/>
      <c r="G679" s="12"/>
    </row>
    <row r="680">
      <c r="A680" s="12"/>
      <c r="B680" s="14"/>
      <c r="C680" s="14"/>
      <c r="D680" s="15"/>
      <c r="E680" s="15"/>
      <c r="F680" s="15"/>
      <c r="G680" s="12"/>
    </row>
    <row r="681">
      <c r="A681" s="12"/>
      <c r="B681" s="14"/>
      <c r="C681" s="14"/>
      <c r="D681" s="15"/>
      <c r="E681" s="15"/>
      <c r="F681" s="15"/>
      <c r="G681" s="12"/>
    </row>
    <row r="682">
      <c r="A682" s="12"/>
      <c r="B682" s="14"/>
      <c r="C682" s="14"/>
      <c r="D682" s="15"/>
      <c r="E682" s="15"/>
      <c r="F682" s="15"/>
      <c r="G682" s="12"/>
    </row>
    <row r="683">
      <c r="A683" s="12"/>
      <c r="B683" s="14"/>
      <c r="C683" s="14"/>
      <c r="D683" s="15"/>
      <c r="E683" s="15"/>
      <c r="F683" s="15"/>
      <c r="G683" s="12"/>
    </row>
    <row r="684">
      <c r="A684" s="12"/>
      <c r="B684" s="14"/>
      <c r="C684" s="14"/>
      <c r="D684" s="15"/>
      <c r="E684" s="15"/>
      <c r="F684" s="15"/>
      <c r="G684" s="12"/>
    </row>
    <row r="685">
      <c r="A685" s="12"/>
      <c r="B685" s="14"/>
      <c r="C685" s="14"/>
      <c r="D685" s="15"/>
      <c r="E685" s="15"/>
      <c r="F685" s="15"/>
      <c r="G685" s="12"/>
    </row>
    <row r="686">
      <c r="A686" s="12"/>
      <c r="B686" s="14"/>
      <c r="C686" s="14"/>
      <c r="D686" s="15"/>
      <c r="E686" s="15"/>
      <c r="F686" s="15"/>
      <c r="G686" s="12"/>
    </row>
    <row r="687">
      <c r="A687" s="12"/>
      <c r="B687" s="14"/>
      <c r="C687" s="14"/>
      <c r="D687" s="15"/>
      <c r="E687" s="15"/>
      <c r="F687" s="15"/>
      <c r="G687" s="12"/>
    </row>
    <row r="688">
      <c r="A688" s="12"/>
      <c r="B688" s="14"/>
      <c r="C688" s="14"/>
      <c r="D688" s="15"/>
      <c r="E688" s="15"/>
      <c r="F688" s="15"/>
      <c r="G688" s="12"/>
    </row>
    <row r="689">
      <c r="A689" s="12"/>
      <c r="B689" s="14"/>
      <c r="C689" s="14"/>
      <c r="D689" s="15"/>
      <c r="E689" s="15"/>
      <c r="F689" s="15"/>
      <c r="G689" s="12"/>
    </row>
    <row r="690">
      <c r="A690" s="12"/>
      <c r="B690" s="14"/>
      <c r="C690" s="14"/>
      <c r="D690" s="15"/>
      <c r="E690" s="15"/>
      <c r="F690" s="15"/>
      <c r="G690" s="12"/>
    </row>
    <row r="691">
      <c r="A691" s="12"/>
      <c r="B691" s="14"/>
      <c r="C691" s="14"/>
      <c r="D691" s="15"/>
      <c r="E691" s="15"/>
      <c r="F691" s="15"/>
      <c r="G691" s="12"/>
    </row>
    <row r="692">
      <c r="A692" s="12"/>
      <c r="B692" s="14"/>
      <c r="C692" s="14"/>
      <c r="D692" s="15"/>
      <c r="E692" s="15"/>
      <c r="F692" s="15"/>
      <c r="G692" s="12"/>
    </row>
    <row r="693">
      <c r="A693" s="12"/>
      <c r="B693" s="14"/>
      <c r="C693" s="14"/>
      <c r="D693" s="15"/>
      <c r="E693" s="15"/>
      <c r="F693" s="15"/>
      <c r="G693" s="12"/>
    </row>
    <row r="694">
      <c r="A694" s="12"/>
      <c r="B694" s="14"/>
      <c r="C694" s="14"/>
      <c r="D694" s="15"/>
      <c r="E694" s="15"/>
      <c r="F694" s="15"/>
      <c r="G694" s="12"/>
    </row>
    <row r="695">
      <c r="A695" s="12"/>
      <c r="B695" s="14"/>
      <c r="C695" s="14"/>
      <c r="D695" s="15"/>
      <c r="E695" s="15"/>
      <c r="F695" s="15"/>
      <c r="G695" s="12"/>
    </row>
    <row r="696">
      <c r="A696" s="12"/>
      <c r="B696" s="14"/>
      <c r="C696" s="14"/>
      <c r="D696" s="15"/>
      <c r="E696" s="15"/>
      <c r="F696" s="15"/>
      <c r="G696" s="12"/>
    </row>
    <row r="697">
      <c r="A697" s="12"/>
      <c r="B697" s="14"/>
      <c r="C697" s="14"/>
      <c r="D697" s="15"/>
      <c r="E697" s="15"/>
      <c r="F697" s="15"/>
      <c r="G697" s="12"/>
    </row>
    <row r="698">
      <c r="A698" s="12"/>
      <c r="B698" s="14"/>
      <c r="C698" s="14"/>
      <c r="D698" s="15"/>
      <c r="E698" s="15"/>
      <c r="F698" s="15"/>
      <c r="G698" s="12"/>
    </row>
    <row r="699">
      <c r="A699" s="12"/>
      <c r="B699" s="14"/>
      <c r="C699" s="14"/>
      <c r="D699" s="15"/>
      <c r="E699" s="15"/>
      <c r="F699" s="15"/>
      <c r="G699" s="12"/>
    </row>
    <row r="700">
      <c r="A700" s="12"/>
      <c r="B700" s="14"/>
      <c r="C700" s="14"/>
      <c r="D700" s="15"/>
      <c r="E700" s="15"/>
      <c r="F700" s="15"/>
      <c r="G700" s="12"/>
    </row>
    <row r="701">
      <c r="A701" s="12"/>
      <c r="B701" s="14"/>
      <c r="C701" s="14"/>
      <c r="D701" s="15"/>
      <c r="E701" s="15"/>
      <c r="F701" s="15"/>
      <c r="G701" s="12"/>
    </row>
    <row r="702">
      <c r="A702" s="12"/>
      <c r="B702" s="14"/>
      <c r="C702" s="14"/>
      <c r="D702" s="15"/>
      <c r="E702" s="15"/>
      <c r="F702" s="15"/>
      <c r="G702" s="12"/>
    </row>
    <row r="703">
      <c r="A703" s="12"/>
      <c r="B703" s="14"/>
      <c r="C703" s="14"/>
      <c r="D703" s="15"/>
      <c r="E703" s="15"/>
      <c r="F703" s="15"/>
      <c r="G703" s="12"/>
    </row>
    <row r="704">
      <c r="A704" s="12"/>
      <c r="B704" s="14"/>
      <c r="C704" s="14"/>
      <c r="D704" s="15"/>
      <c r="E704" s="15"/>
      <c r="F704" s="15"/>
      <c r="G704" s="12"/>
    </row>
    <row r="705">
      <c r="A705" s="12"/>
      <c r="B705" s="14"/>
      <c r="C705" s="14"/>
      <c r="D705" s="15"/>
      <c r="E705" s="15"/>
      <c r="F705" s="15"/>
      <c r="G705" s="12"/>
    </row>
    <row r="706">
      <c r="A706" s="12"/>
      <c r="B706" s="14"/>
      <c r="C706" s="14"/>
      <c r="D706" s="15"/>
      <c r="E706" s="15"/>
      <c r="F706" s="15"/>
      <c r="G706" s="12"/>
    </row>
    <row r="707">
      <c r="A707" s="12"/>
      <c r="B707" s="14"/>
      <c r="C707" s="14"/>
      <c r="D707" s="15"/>
      <c r="E707" s="15"/>
      <c r="F707" s="15"/>
      <c r="G707" s="12"/>
    </row>
    <row r="708">
      <c r="A708" s="12"/>
      <c r="B708" s="14"/>
      <c r="C708" s="14"/>
      <c r="D708" s="15"/>
      <c r="E708" s="15"/>
      <c r="F708" s="15"/>
      <c r="G708" s="12"/>
    </row>
    <row r="709">
      <c r="A709" s="12"/>
      <c r="B709" s="14"/>
      <c r="C709" s="14"/>
      <c r="D709" s="15"/>
      <c r="E709" s="15"/>
      <c r="F709" s="15"/>
      <c r="G709" s="12"/>
    </row>
    <row r="710">
      <c r="A710" s="12"/>
      <c r="B710" s="14"/>
      <c r="C710" s="14"/>
      <c r="D710" s="15"/>
      <c r="E710" s="15"/>
      <c r="F710" s="15"/>
      <c r="G710" s="12"/>
    </row>
    <row r="711">
      <c r="A711" s="12"/>
      <c r="B711" s="14"/>
      <c r="C711" s="14"/>
      <c r="D711" s="15"/>
      <c r="E711" s="15"/>
      <c r="F711" s="15"/>
      <c r="G711" s="12"/>
    </row>
    <row r="712">
      <c r="A712" s="12"/>
      <c r="B712" s="14"/>
      <c r="C712" s="14"/>
      <c r="D712" s="15"/>
      <c r="E712" s="15"/>
      <c r="F712" s="15"/>
      <c r="G712" s="12"/>
    </row>
    <row r="713">
      <c r="A713" s="12"/>
      <c r="B713" s="14"/>
      <c r="C713" s="14"/>
      <c r="D713" s="15"/>
      <c r="E713" s="15"/>
      <c r="F713" s="15"/>
      <c r="G713" s="12"/>
    </row>
    <row r="714">
      <c r="A714" s="12"/>
      <c r="B714" s="14"/>
      <c r="C714" s="14"/>
      <c r="D714" s="15"/>
      <c r="E714" s="15"/>
      <c r="F714" s="15"/>
      <c r="G714" s="12"/>
    </row>
    <row r="715">
      <c r="A715" s="12"/>
      <c r="B715" s="14"/>
      <c r="C715" s="14"/>
      <c r="D715" s="15"/>
      <c r="E715" s="15"/>
      <c r="F715" s="15"/>
      <c r="G715" s="12"/>
    </row>
    <row r="716">
      <c r="A716" s="12"/>
      <c r="B716" s="14"/>
      <c r="C716" s="14"/>
      <c r="D716" s="15"/>
      <c r="E716" s="15"/>
      <c r="F716" s="15"/>
      <c r="G716" s="12"/>
    </row>
    <row r="717">
      <c r="A717" s="12"/>
      <c r="B717" s="14"/>
      <c r="C717" s="14"/>
      <c r="D717" s="15"/>
      <c r="E717" s="15"/>
      <c r="F717" s="15"/>
      <c r="G717" s="12"/>
    </row>
    <row r="718">
      <c r="A718" s="12"/>
      <c r="B718" s="14"/>
      <c r="C718" s="14"/>
      <c r="D718" s="15"/>
      <c r="E718" s="15"/>
      <c r="F718" s="15"/>
      <c r="G718" s="12"/>
    </row>
    <row r="719">
      <c r="A719" s="12"/>
      <c r="B719" s="14"/>
      <c r="C719" s="14"/>
      <c r="D719" s="15"/>
      <c r="E719" s="15"/>
      <c r="F719" s="15"/>
      <c r="G719" s="12"/>
    </row>
    <row r="720">
      <c r="A720" s="12"/>
      <c r="B720" s="14"/>
      <c r="C720" s="14"/>
      <c r="D720" s="15"/>
      <c r="E720" s="15"/>
      <c r="F720" s="15"/>
      <c r="G720" s="12"/>
    </row>
    <row r="721">
      <c r="A721" s="12"/>
      <c r="B721" s="14"/>
      <c r="C721" s="14"/>
      <c r="D721" s="15"/>
      <c r="E721" s="15"/>
      <c r="F721" s="15"/>
      <c r="G721" s="12"/>
    </row>
    <row r="722">
      <c r="A722" s="12"/>
      <c r="B722" s="14"/>
      <c r="C722" s="14"/>
      <c r="D722" s="15"/>
      <c r="E722" s="15"/>
      <c r="F722" s="15"/>
      <c r="G722" s="12"/>
    </row>
    <row r="723">
      <c r="A723" s="12"/>
      <c r="B723" s="14"/>
      <c r="C723" s="14"/>
      <c r="D723" s="15"/>
      <c r="E723" s="15"/>
      <c r="F723" s="15"/>
      <c r="G723" s="12"/>
    </row>
    <row r="724">
      <c r="A724" s="12"/>
      <c r="B724" s="14"/>
      <c r="C724" s="14"/>
      <c r="D724" s="15"/>
      <c r="E724" s="15"/>
      <c r="F724" s="15"/>
      <c r="G724" s="12"/>
    </row>
    <row r="725">
      <c r="A725" s="12"/>
      <c r="B725" s="14"/>
      <c r="C725" s="14"/>
      <c r="D725" s="15"/>
      <c r="E725" s="15"/>
      <c r="F725" s="15"/>
      <c r="G725" s="12"/>
    </row>
    <row r="726">
      <c r="A726" s="12"/>
      <c r="B726" s="14"/>
      <c r="C726" s="14"/>
      <c r="D726" s="15"/>
      <c r="E726" s="15"/>
      <c r="F726" s="15"/>
      <c r="G726" s="12"/>
    </row>
    <row r="727">
      <c r="A727" s="12"/>
      <c r="B727" s="14"/>
      <c r="C727" s="14"/>
      <c r="D727" s="15"/>
      <c r="E727" s="15"/>
      <c r="F727" s="15"/>
      <c r="G727" s="12"/>
    </row>
    <row r="728">
      <c r="A728" s="12"/>
      <c r="B728" s="14"/>
      <c r="C728" s="14"/>
      <c r="D728" s="15"/>
      <c r="E728" s="15"/>
      <c r="F728" s="15"/>
      <c r="G728" s="12"/>
    </row>
    <row r="729">
      <c r="A729" s="12"/>
      <c r="B729" s="14"/>
      <c r="C729" s="14"/>
      <c r="D729" s="15"/>
      <c r="E729" s="15"/>
      <c r="F729" s="15"/>
      <c r="G729" s="12"/>
    </row>
    <row r="730">
      <c r="A730" s="12"/>
      <c r="B730" s="14"/>
      <c r="C730" s="14"/>
      <c r="D730" s="15"/>
      <c r="E730" s="15"/>
      <c r="F730" s="15"/>
      <c r="G730" s="12"/>
    </row>
    <row r="731">
      <c r="A731" s="12"/>
      <c r="B731" s="14"/>
      <c r="C731" s="14"/>
      <c r="D731" s="15"/>
      <c r="E731" s="15"/>
      <c r="F731" s="15"/>
      <c r="G731" s="12"/>
    </row>
    <row r="732">
      <c r="A732" s="12"/>
      <c r="B732" s="14"/>
      <c r="C732" s="14"/>
      <c r="D732" s="15"/>
      <c r="E732" s="15"/>
      <c r="F732" s="15"/>
      <c r="G732" s="12"/>
    </row>
    <row r="733">
      <c r="A733" s="12"/>
      <c r="B733" s="14"/>
      <c r="C733" s="14"/>
      <c r="D733" s="15"/>
      <c r="E733" s="15"/>
      <c r="F733" s="15"/>
      <c r="G733" s="12"/>
    </row>
    <row r="734">
      <c r="A734" s="12"/>
      <c r="B734" s="14"/>
      <c r="C734" s="14"/>
      <c r="D734" s="15"/>
      <c r="E734" s="15"/>
      <c r="F734" s="15"/>
      <c r="G734" s="12"/>
    </row>
    <row r="735">
      <c r="A735" s="12"/>
      <c r="B735" s="14"/>
      <c r="C735" s="14"/>
      <c r="D735" s="15"/>
      <c r="E735" s="15"/>
      <c r="F735" s="15"/>
      <c r="G735" s="12"/>
    </row>
    <row r="736">
      <c r="A736" s="12"/>
      <c r="B736" s="14"/>
      <c r="C736" s="14"/>
      <c r="D736" s="15"/>
      <c r="E736" s="15"/>
      <c r="F736" s="15"/>
      <c r="G736" s="12"/>
    </row>
    <row r="737">
      <c r="A737" s="12"/>
      <c r="B737" s="14"/>
      <c r="C737" s="14"/>
      <c r="D737" s="15"/>
      <c r="E737" s="15"/>
      <c r="F737" s="15"/>
      <c r="G737" s="12"/>
    </row>
    <row r="738">
      <c r="A738" s="12"/>
      <c r="B738" s="14"/>
      <c r="C738" s="14"/>
      <c r="D738" s="15"/>
      <c r="E738" s="15"/>
      <c r="F738" s="15"/>
      <c r="G738" s="12"/>
    </row>
    <row r="739">
      <c r="A739" s="12"/>
      <c r="B739" s="14"/>
      <c r="C739" s="14"/>
      <c r="D739" s="15"/>
      <c r="E739" s="15"/>
      <c r="F739" s="15"/>
      <c r="G739" s="12"/>
    </row>
    <row r="740">
      <c r="A740" s="12"/>
      <c r="B740" s="14"/>
      <c r="C740" s="14"/>
      <c r="D740" s="15"/>
      <c r="E740" s="15"/>
      <c r="F740" s="15"/>
      <c r="G740" s="12"/>
    </row>
    <row r="741">
      <c r="A741" s="12"/>
      <c r="B741" s="14"/>
      <c r="C741" s="14"/>
      <c r="D741" s="15"/>
      <c r="E741" s="15"/>
      <c r="F741" s="15"/>
      <c r="G741" s="12"/>
    </row>
    <row r="742">
      <c r="A742" s="12"/>
      <c r="B742" s="14"/>
      <c r="C742" s="14"/>
      <c r="D742" s="15"/>
      <c r="E742" s="15"/>
      <c r="F742" s="15"/>
      <c r="G742" s="12"/>
    </row>
    <row r="743">
      <c r="A743" s="12"/>
      <c r="B743" s="14"/>
      <c r="C743" s="14"/>
      <c r="D743" s="15"/>
      <c r="E743" s="15"/>
      <c r="F743" s="15"/>
      <c r="G743" s="12"/>
    </row>
    <row r="744">
      <c r="A744" s="12"/>
      <c r="B744" s="14"/>
      <c r="C744" s="14"/>
      <c r="D744" s="15"/>
      <c r="E744" s="15"/>
      <c r="F744" s="15"/>
      <c r="G744" s="12"/>
    </row>
    <row r="745">
      <c r="A745" s="12"/>
      <c r="B745" s="14"/>
      <c r="C745" s="14"/>
      <c r="D745" s="15"/>
      <c r="E745" s="15"/>
      <c r="F745" s="15"/>
      <c r="G745" s="12"/>
    </row>
    <row r="746">
      <c r="A746" s="12"/>
      <c r="B746" s="14"/>
      <c r="C746" s="14"/>
      <c r="D746" s="15"/>
      <c r="E746" s="15"/>
      <c r="F746" s="15"/>
      <c r="G746" s="12"/>
    </row>
    <row r="747">
      <c r="A747" s="12"/>
      <c r="B747" s="14"/>
      <c r="C747" s="14"/>
      <c r="D747" s="15"/>
      <c r="E747" s="15"/>
      <c r="F747" s="15"/>
      <c r="G747" s="12"/>
    </row>
    <row r="748">
      <c r="A748" s="12"/>
      <c r="B748" s="14"/>
      <c r="C748" s="14"/>
      <c r="D748" s="15"/>
      <c r="E748" s="15"/>
      <c r="F748" s="15"/>
      <c r="G748" s="12"/>
    </row>
    <row r="749">
      <c r="A749" s="12"/>
      <c r="B749" s="14"/>
      <c r="C749" s="14"/>
      <c r="D749" s="15"/>
      <c r="E749" s="15"/>
      <c r="F749" s="15"/>
      <c r="G749" s="12"/>
    </row>
    <row r="750">
      <c r="A750" s="12"/>
      <c r="B750" s="14"/>
      <c r="C750" s="14"/>
      <c r="D750" s="15"/>
      <c r="E750" s="15"/>
      <c r="F750" s="15"/>
      <c r="G750" s="12"/>
    </row>
    <row r="751">
      <c r="A751" s="12"/>
      <c r="B751" s="14"/>
      <c r="C751" s="14"/>
      <c r="D751" s="15"/>
      <c r="E751" s="15"/>
      <c r="F751" s="15"/>
      <c r="G751" s="12"/>
    </row>
    <row r="752">
      <c r="A752" s="12"/>
      <c r="B752" s="14"/>
      <c r="C752" s="14"/>
      <c r="D752" s="15"/>
      <c r="E752" s="15"/>
      <c r="F752" s="15"/>
      <c r="G752" s="12"/>
    </row>
    <row r="753">
      <c r="A753" s="12"/>
      <c r="B753" s="14"/>
      <c r="C753" s="14"/>
      <c r="D753" s="15"/>
      <c r="E753" s="15"/>
      <c r="F753" s="15"/>
      <c r="G753" s="12"/>
    </row>
    <row r="754">
      <c r="A754" s="12"/>
      <c r="B754" s="14"/>
      <c r="C754" s="14"/>
      <c r="D754" s="15"/>
      <c r="E754" s="15"/>
      <c r="F754" s="15"/>
      <c r="G754" s="12"/>
    </row>
    <row r="755">
      <c r="A755" s="12"/>
      <c r="B755" s="14"/>
      <c r="C755" s="14"/>
      <c r="D755" s="15"/>
      <c r="E755" s="15"/>
      <c r="F755" s="15"/>
      <c r="G755" s="12"/>
    </row>
    <row r="756">
      <c r="A756" s="12"/>
      <c r="B756" s="14"/>
      <c r="C756" s="14"/>
      <c r="D756" s="15"/>
      <c r="E756" s="15"/>
      <c r="F756" s="15"/>
      <c r="G756" s="12"/>
    </row>
    <row r="757">
      <c r="A757" s="12"/>
      <c r="B757" s="14"/>
      <c r="C757" s="14"/>
      <c r="D757" s="15"/>
      <c r="E757" s="15"/>
      <c r="F757" s="15"/>
      <c r="G757" s="12"/>
    </row>
    <row r="758">
      <c r="A758" s="12"/>
      <c r="B758" s="14"/>
      <c r="C758" s="14"/>
      <c r="D758" s="15"/>
      <c r="E758" s="15"/>
      <c r="F758" s="15"/>
      <c r="G758" s="12"/>
    </row>
    <row r="759">
      <c r="A759" s="12"/>
      <c r="B759" s="14"/>
      <c r="C759" s="14"/>
      <c r="D759" s="15"/>
      <c r="E759" s="15"/>
      <c r="F759" s="15"/>
      <c r="G759" s="12"/>
    </row>
    <row r="760">
      <c r="A760" s="12"/>
      <c r="B760" s="14"/>
      <c r="C760" s="14"/>
      <c r="D760" s="15"/>
      <c r="E760" s="15"/>
      <c r="F760" s="15"/>
      <c r="G760" s="12"/>
    </row>
    <row r="761">
      <c r="A761" s="12"/>
      <c r="B761" s="14"/>
      <c r="C761" s="14"/>
      <c r="D761" s="15"/>
      <c r="E761" s="15"/>
      <c r="F761" s="15"/>
      <c r="G761" s="12"/>
    </row>
    <row r="762">
      <c r="A762" s="12"/>
      <c r="B762" s="14"/>
      <c r="C762" s="14"/>
      <c r="D762" s="15"/>
      <c r="E762" s="15"/>
      <c r="F762" s="15"/>
      <c r="G762" s="12"/>
    </row>
    <row r="763">
      <c r="A763" s="12"/>
      <c r="B763" s="14"/>
      <c r="C763" s="14"/>
      <c r="D763" s="15"/>
      <c r="E763" s="15"/>
      <c r="F763" s="15"/>
      <c r="G763" s="12"/>
    </row>
    <row r="764">
      <c r="A764" s="12"/>
      <c r="B764" s="14"/>
      <c r="C764" s="14"/>
      <c r="D764" s="15"/>
      <c r="E764" s="15"/>
      <c r="F764" s="15"/>
      <c r="G764" s="12"/>
    </row>
    <row r="765">
      <c r="A765" s="12"/>
      <c r="B765" s="14"/>
      <c r="C765" s="14"/>
      <c r="D765" s="15"/>
      <c r="E765" s="15"/>
      <c r="F765" s="15"/>
      <c r="G765" s="12"/>
    </row>
    <row r="766">
      <c r="A766" s="12"/>
      <c r="B766" s="14"/>
      <c r="C766" s="14"/>
      <c r="D766" s="15"/>
      <c r="E766" s="15"/>
      <c r="F766" s="15"/>
      <c r="G766" s="12"/>
    </row>
    <row r="767">
      <c r="A767" s="12"/>
      <c r="B767" s="14"/>
      <c r="C767" s="14"/>
      <c r="D767" s="15"/>
      <c r="E767" s="15"/>
      <c r="F767" s="15"/>
      <c r="G767" s="12"/>
    </row>
    <row r="768">
      <c r="A768" s="12"/>
      <c r="B768" s="14"/>
      <c r="C768" s="14"/>
      <c r="D768" s="15"/>
      <c r="E768" s="15"/>
      <c r="F768" s="15"/>
      <c r="G768" s="12"/>
    </row>
    <row r="769">
      <c r="A769" s="12"/>
      <c r="B769" s="14"/>
      <c r="C769" s="14"/>
      <c r="D769" s="15"/>
      <c r="E769" s="15"/>
      <c r="F769" s="15"/>
      <c r="G769" s="12"/>
    </row>
    <row r="770">
      <c r="A770" s="12"/>
      <c r="B770" s="14"/>
      <c r="C770" s="14"/>
      <c r="D770" s="15"/>
      <c r="E770" s="15"/>
      <c r="F770" s="15"/>
      <c r="G770" s="12"/>
    </row>
    <row r="771">
      <c r="A771" s="12"/>
      <c r="B771" s="14"/>
      <c r="C771" s="14"/>
      <c r="D771" s="15"/>
      <c r="E771" s="15"/>
      <c r="F771" s="15"/>
      <c r="G771" s="12"/>
    </row>
    <row r="772">
      <c r="A772" s="12"/>
      <c r="B772" s="14"/>
      <c r="C772" s="14"/>
      <c r="D772" s="15"/>
      <c r="E772" s="15"/>
      <c r="F772" s="15"/>
      <c r="G772" s="12"/>
    </row>
    <row r="773">
      <c r="A773" s="12"/>
      <c r="B773" s="14"/>
      <c r="C773" s="14"/>
      <c r="D773" s="15"/>
      <c r="E773" s="15"/>
      <c r="F773" s="15"/>
      <c r="G773" s="12"/>
    </row>
    <row r="774">
      <c r="A774" s="12"/>
      <c r="B774" s="14"/>
      <c r="C774" s="14"/>
      <c r="D774" s="15"/>
      <c r="E774" s="15"/>
      <c r="F774" s="15"/>
      <c r="G774" s="12"/>
    </row>
    <row r="775">
      <c r="A775" s="12"/>
      <c r="B775" s="14"/>
      <c r="C775" s="14"/>
      <c r="D775" s="15"/>
      <c r="E775" s="15"/>
      <c r="F775" s="15"/>
      <c r="G775" s="12"/>
    </row>
    <row r="776">
      <c r="A776" s="12"/>
      <c r="B776" s="14"/>
      <c r="C776" s="14"/>
      <c r="D776" s="15"/>
      <c r="E776" s="15"/>
      <c r="F776" s="15"/>
      <c r="G776" s="12"/>
    </row>
    <row r="777">
      <c r="A777" s="12"/>
      <c r="B777" s="14"/>
      <c r="C777" s="14"/>
      <c r="D777" s="15"/>
      <c r="E777" s="15"/>
      <c r="F777" s="15"/>
      <c r="G777" s="12"/>
    </row>
    <row r="778">
      <c r="A778" s="12"/>
      <c r="B778" s="14"/>
      <c r="C778" s="14"/>
      <c r="D778" s="15"/>
      <c r="E778" s="15"/>
      <c r="F778" s="15"/>
      <c r="G778" s="12"/>
    </row>
    <row r="779">
      <c r="A779" s="12"/>
      <c r="B779" s="14"/>
      <c r="C779" s="14"/>
      <c r="D779" s="15"/>
      <c r="E779" s="15"/>
      <c r="F779" s="15"/>
      <c r="G779" s="12"/>
    </row>
    <row r="780">
      <c r="A780" s="12"/>
      <c r="B780" s="14"/>
      <c r="C780" s="14"/>
      <c r="D780" s="15"/>
      <c r="E780" s="15"/>
      <c r="F780" s="15"/>
      <c r="G780" s="12"/>
    </row>
    <row r="781">
      <c r="A781" s="12"/>
      <c r="B781" s="14"/>
      <c r="C781" s="14"/>
      <c r="D781" s="15"/>
      <c r="E781" s="15"/>
      <c r="F781" s="15"/>
      <c r="G781" s="12"/>
    </row>
    <row r="782">
      <c r="A782" s="12"/>
      <c r="B782" s="14"/>
      <c r="C782" s="14"/>
      <c r="D782" s="15"/>
      <c r="E782" s="15"/>
      <c r="F782" s="15"/>
      <c r="G782" s="12"/>
    </row>
    <row r="783">
      <c r="A783" s="12"/>
      <c r="B783" s="14"/>
      <c r="C783" s="14"/>
      <c r="D783" s="15"/>
      <c r="E783" s="15"/>
      <c r="F783" s="15"/>
      <c r="G783" s="12"/>
    </row>
    <row r="784">
      <c r="A784" s="12"/>
      <c r="B784" s="14"/>
      <c r="C784" s="14"/>
      <c r="D784" s="15"/>
      <c r="E784" s="15"/>
      <c r="F784" s="15"/>
      <c r="G784" s="12"/>
    </row>
    <row r="785">
      <c r="A785" s="12"/>
      <c r="B785" s="14"/>
      <c r="C785" s="14"/>
      <c r="D785" s="15"/>
      <c r="E785" s="15"/>
      <c r="F785" s="15"/>
      <c r="G785" s="12"/>
    </row>
    <row r="786">
      <c r="A786" s="12"/>
      <c r="B786" s="14"/>
      <c r="C786" s="14"/>
      <c r="D786" s="15"/>
      <c r="E786" s="15"/>
      <c r="F786" s="15"/>
      <c r="G786" s="12"/>
    </row>
    <row r="787">
      <c r="A787" s="12"/>
      <c r="B787" s="14"/>
      <c r="C787" s="14"/>
      <c r="D787" s="15"/>
      <c r="E787" s="15"/>
      <c r="F787" s="15"/>
      <c r="G787" s="12"/>
    </row>
    <row r="788">
      <c r="A788" s="12"/>
      <c r="B788" s="14"/>
      <c r="C788" s="14"/>
      <c r="D788" s="15"/>
      <c r="E788" s="15"/>
      <c r="F788" s="15"/>
      <c r="G788" s="12"/>
    </row>
    <row r="789">
      <c r="A789" s="12"/>
      <c r="B789" s="14"/>
      <c r="C789" s="14"/>
      <c r="D789" s="15"/>
      <c r="E789" s="15"/>
      <c r="F789" s="15"/>
      <c r="G789" s="12"/>
    </row>
    <row r="790">
      <c r="A790" s="12"/>
      <c r="B790" s="14"/>
      <c r="C790" s="14"/>
      <c r="D790" s="15"/>
      <c r="E790" s="15"/>
      <c r="F790" s="15"/>
      <c r="G790" s="12"/>
    </row>
    <row r="791">
      <c r="A791" s="12"/>
      <c r="B791" s="14"/>
      <c r="C791" s="14"/>
      <c r="D791" s="15"/>
      <c r="E791" s="15"/>
      <c r="F791" s="15"/>
      <c r="G791" s="12"/>
    </row>
    <row r="792">
      <c r="A792" s="12"/>
      <c r="B792" s="14"/>
      <c r="C792" s="14"/>
      <c r="D792" s="15"/>
      <c r="E792" s="15"/>
      <c r="F792" s="15"/>
      <c r="G792" s="12"/>
    </row>
    <row r="793">
      <c r="A793" s="12"/>
      <c r="B793" s="14"/>
      <c r="C793" s="14"/>
      <c r="D793" s="15"/>
      <c r="E793" s="15"/>
      <c r="F793" s="15"/>
      <c r="G793" s="12"/>
    </row>
    <row r="794">
      <c r="A794" s="12"/>
      <c r="B794" s="14"/>
      <c r="C794" s="14"/>
      <c r="D794" s="15"/>
      <c r="E794" s="15"/>
      <c r="F794" s="15"/>
      <c r="G794" s="12"/>
    </row>
    <row r="795">
      <c r="A795" s="12"/>
      <c r="B795" s="14"/>
      <c r="C795" s="14"/>
      <c r="D795" s="15"/>
      <c r="E795" s="15"/>
      <c r="F795" s="15"/>
      <c r="G795" s="12"/>
    </row>
    <row r="796">
      <c r="A796" s="12"/>
      <c r="B796" s="14"/>
      <c r="C796" s="14"/>
      <c r="D796" s="15"/>
      <c r="E796" s="15"/>
      <c r="F796" s="15"/>
      <c r="G796" s="12"/>
    </row>
    <row r="797">
      <c r="A797" s="12"/>
      <c r="B797" s="14"/>
      <c r="C797" s="14"/>
      <c r="D797" s="15"/>
      <c r="E797" s="15"/>
      <c r="F797" s="15"/>
      <c r="G797" s="12"/>
    </row>
    <row r="798">
      <c r="A798" s="12"/>
      <c r="B798" s="14"/>
      <c r="C798" s="14"/>
      <c r="D798" s="15"/>
      <c r="E798" s="15"/>
      <c r="F798" s="15"/>
      <c r="G798" s="12"/>
    </row>
    <row r="799">
      <c r="A799" s="12"/>
      <c r="B799" s="14"/>
      <c r="C799" s="14"/>
      <c r="D799" s="15"/>
      <c r="E799" s="15"/>
      <c r="F799" s="15"/>
      <c r="G799" s="12"/>
    </row>
    <row r="800">
      <c r="A800" s="12"/>
      <c r="B800" s="14"/>
      <c r="C800" s="14"/>
      <c r="D800" s="15"/>
      <c r="E800" s="15"/>
      <c r="F800" s="15"/>
      <c r="G800" s="12"/>
    </row>
    <row r="801">
      <c r="A801" s="12"/>
      <c r="B801" s="14"/>
      <c r="C801" s="14"/>
      <c r="D801" s="15"/>
      <c r="E801" s="15"/>
      <c r="F801" s="15"/>
      <c r="G801" s="12"/>
    </row>
    <row r="802">
      <c r="A802" s="12"/>
      <c r="B802" s="14"/>
      <c r="C802" s="14"/>
      <c r="D802" s="15"/>
      <c r="E802" s="15"/>
      <c r="F802" s="15"/>
      <c r="G802" s="12"/>
    </row>
    <row r="803">
      <c r="A803" s="12"/>
      <c r="B803" s="14"/>
      <c r="C803" s="14"/>
      <c r="D803" s="15"/>
      <c r="E803" s="15"/>
      <c r="F803" s="15"/>
      <c r="G803" s="12"/>
    </row>
    <row r="804">
      <c r="A804" s="12"/>
      <c r="B804" s="14"/>
      <c r="C804" s="14"/>
      <c r="D804" s="15"/>
      <c r="E804" s="15"/>
      <c r="F804" s="15"/>
      <c r="G804" s="12"/>
    </row>
    <row r="805">
      <c r="A805" s="12"/>
      <c r="B805" s="14"/>
      <c r="C805" s="14"/>
      <c r="D805" s="15"/>
      <c r="E805" s="15"/>
      <c r="F805" s="15"/>
      <c r="G805" s="12"/>
    </row>
    <row r="806">
      <c r="A806" s="12"/>
      <c r="B806" s="14"/>
      <c r="C806" s="14"/>
      <c r="D806" s="15"/>
      <c r="E806" s="15"/>
      <c r="F806" s="15"/>
      <c r="G806" s="12"/>
    </row>
    <row r="807">
      <c r="A807" s="12"/>
      <c r="B807" s="14"/>
      <c r="C807" s="14"/>
      <c r="D807" s="15"/>
      <c r="E807" s="15"/>
      <c r="F807" s="15"/>
      <c r="G807" s="12"/>
    </row>
    <row r="808">
      <c r="A808" s="12"/>
      <c r="B808" s="14"/>
      <c r="C808" s="14"/>
      <c r="D808" s="15"/>
      <c r="E808" s="15"/>
      <c r="F808" s="15"/>
      <c r="G808" s="12"/>
    </row>
    <row r="809">
      <c r="A809" s="12"/>
      <c r="B809" s="14"/>
      <c r="C809" s="14"/>
      <c r="D809" s="15"/>
      <c r="E809" s="15"/>
      <c r="F809" s="15"/>
      <c r="G809" s="12"/>
    </row>
    <row r="810">
      <c r="A810" s="12"/>
      <c r="B810" s="14"/>
      <c r="C810" s="14"/>
      <c r="D810" s="15"/>
      <c r="E810" s="15"/>
      <c r="F810" s="15"/>
      <c r="G810" s="12"/>
    </row>
    <row r="811">
      <c r="A811" s="12"/>
      <c r="B811" s="14"/>
      <c r="C811" s="14"/>
      <c r="D811" s="15"/>
      <c r="E811" s="15"/>
      <c r="F811" s="15"/>
      <c r="G811" s="12"/>
    </row>
    <row r="812">
      <c r="A812" s="12"/>
      <c r="B812" s="14"/>
      <c r="C812" s="14"/>
      <c r="D812" s="15"/>
      <c r="E812" s="15"/>
      <c r="F812" s="15"/>
      <c r="G812" s="12"/>
    </row>
    <row r="813">
      <c r="A813" s="12"/>
      <c r="B813" s="14"/>
      <c r="C813" s="14"/>
      <c r="D813" s="15"/>
      <c r="E813" s="15"/>
      <c r="F813" s="15"/>
      <c r="G813" s="12"/>
    </row>
    <row r="814">
      <c r="A814" s="12"/>
      <c r="B814" s="14"/>
      <c r="C814" s="14"/>
      <c r="D814" s="15"/>
      <c r="E814" s="15"/>
      <c r="F814" s="15"/>
      <c r="G814" s="12"/>
    </row>
    <row r="815">
      <c r="A815" s="12"/>
      <c r="B815" s="14"/>
      <c r="C815" s="14"/>
      <c r="D815" s="15"/>
      <c r="E815" s="15"/>
      <c r="F815" s="15"/>
      <c r="G815" s="12"/>
    </row>
    <row r="816">
      <c r="A816" s="12"/>
      <c r="B816" s="14"/>
      <c r="C816" s="14"/>
      <c r="D816" s="15"/>
      <c r="E816" s="15"/>
      <c r="F816" s="15"/>
      <c r="G816" s="12"/>
    </row>
    <row r="817">
      <c r="A817" s="12"/>
      <c r="B817" s="14"/>
      <c r="C817" s="14"/>
      <c r="D817" s="15"/>
      <c r="E817" s="15"/>
      <c r="F817" s="15"/>
      <c r="G817" s="12"/>
    </row>
    <row r="818">
      <c r="A818" s="12"/>
      <c r="B818" s="14"/>
      <c r="C818" s="14"/>
      <c r="D818" s="15"/>
      <c r="E818" s="15"/>
      <c r="F818" s="15"/>
      <c r="G818" s="12"/>
    </row>
    <row r="819">
      <c r="A819" s="12"/>
      <c r="B819" s="14"/>
      <c r="C819" s="14"/>
      <c r="D819" s="15"/>
      <c r="E819" s="15"/>
      <c r="F819" s="15"/>
      <c r="G819" s="12"/>
    </row>
    <row r="820">
      <c r="A820" s="12"/>
      <c r="B820" s="14"/>
      <c r="C820" s="14"/>
      <c r="D820" s="15"/>
      <c r="E820" s="15"/>
      <c r="F820" s="15"/>
      <c r="G820" s="12"/>
    </row>
    <row r="821">
      <c r="A821" s="12"/>
      <c r="B821" s="14"/>
      <c r="C821" s="14"/>
      <c r="D821" s="15"/>
      <c r="E821" s="15"/>
      <c r="F821" s="15"/>
      <c r="G821" s="12"/>
    </row>
    <row r="822">
      <c r="A822" s="12"/>
      <c r="B822" s="14"/>
      <c r="C822" s="14"/>
      <c r="D822" s="15"/>
      <c r="E822" s="15"/>
      <c r="F822" s="15"/>
      <c r="G822" s="12"/>
    </row>
    <row r="823">
      <c r="A823" s="12"/>
      <c r="B823" s="14"/>
      <c r="C823" s="14"/>
      <c r="D823" s="15"/>
      <c r="E823" s="15"/>
      <c r="F823" s="15"/>
      <c r="G823" s="12"/>
    </row>
    <row r="824">
      <c r="A824" s="12"/>
      <c r="B824" s="14"/>
      <c r="C824" s="14"/>
      <c r="D824" s="15"/>
      <c r="E824" s="15"/>
      <c r="F824" s="15"/>
      <c r="G824" s="12"/>
    </row>
    <row r="825">
      <c r="A825" s="12"/>
      <c r="B825" s="14"/>
      <c r="C825" s="14"/>
      <c r="D825" s="15"/>
      <c r="E825" s="15"/>
      <c r="F825" s="15"/>
      <c r="G825" s="12"/>
    </row>
    <row r="826">
      <c r="A826" s="12"/>
      <c r="B826" s="14"/>
      <c r="C826" s="14"/>
      <c r="D826" s="15"/>
      <c r="E826" s="15"/>
      <c r="F826" s="15"/>
      <c r="G826" s="12"/>
    </row>
    <row r="827">
      <c r="A827" s="12"/>
      <c r="B827" s="14"/>
      <c r="C827" s="14"/>
      <c r="D827" s="15"/>
      <c r="E827" s="15"/>
      <c r="F827" s="15"/>
      <c r="G827" s="12"/>
    </row>
    <row r="828">
      <c r="A828" s="12"/>
      <c r="B828" s="14"/>
      <c r="C828" s="14"/>
      <c r="D828" s="15"/>
      <c r="E828" s="15"/>
      <c r="F828" s="15"/>
      <c r="G828" s="12"/>
    </row>
    <row r="829">
      <c r="A829" s="12"/>
      <c r="B829" s="14"/>
      <c r="C829" s="14"/>
      <c r="D829" s="15"/>
      <c r="E829" s="15"/>
      <c r="F829" s="15"/>
      <c r="G829" s="12"/>
    </row>
    <row r="830">
      <c r="A830" s="12"/>
      <c r="B830" s="14"/>
      <c r="C830" s="14"/>
      <c r="D830" s="15"/>
      <c r="E830" s="15"/>
      <c r="F830" s="15"/>
      <c r="G830" s="12"/>
    </row>
    <row r="831">
      <c r="A831" s="12"/>
      <c r="B831" s="14"/>
      <c r="C831" s="14"/>
      <c r="D831" s="15"/>
      <c r="E831" s="15"/>
      <c r="F831" s="15"/>
      <c r="G831" s="12"/>
    </row>
    <row r="832">
      <c r="A832" s="12"/>
      <c r="B832" s="14"/>
      <c r="C832" s="14"/>
      <c r="D832" s="15"/>
      <c r="E832" s="15"/>
      <c r="F832" s="15"/>
      <c r="G832" s="12"/>
    </row>
    <row r="833">
      <c r="A833" s="12"/>
      <c r="B833" s="14"/>
      <c r="C833" s="14"/>
      <c r="D833" s="15"/>
      <c r="E833" s="15"/>
      <c r="F833" s="15"/>
      <c r="G833" s="12"/>
    </row>
    <row r="834">
      <c r="A834" s="12"/>
      <c r="B834" s="14"/>
      <c r="C834" s="14"/>
      <c r="D834" s="15"/>
      <c r="E834" s="15"/>
      <c r="F834" s="15"/>
      <c r="G834" s="12"/>
    </row>
    <row r="835">
      <c r="A835" s="12"/>
      <c r="B835" s="14"/>
      <c r="C835" s="14"/>
      <c r="D835" s="15"/>
      <c r="E835" s="15"/>
      <c r="F835" s="15"/>
      <c r="G835" s="12"/>
    </row>
    <row r="836">
      <c r="A836" s="12"/>
      <c r="B836" s="14"/>
      <c r="C836" s="14"/>
      <c r="D836" s="15"/>
      <c r="E836" s="15"/>
      <c r="F836" s="15"/>
      <c r="G836" s="12"/>
    </row>
    <row r="837">
      <c r="A837" s="12"/>
      <c r="B837" s="14"/>
      <c r="C837" s="14"/>
      <c r="D837" s="15"/>
      <c r="E837" s="15"/>
      <c r="F837" s="15"/>
      <c r="G837" s="12"/>
    </row>
    <row r="838">
      <c r="A838" s="12"/>
      <c r="B838" s="14"/>
      <c r="C838" s="14"/>
      <c r="D838" s="15"/>
      <c r="E838" s="15"/>
      <c r="F838" s="15"/>
      <c r="G838" s="12"/>
    </row>
    <row r="839">
      <c r="A839" s="12"/>
      <c r="B839" s="14"/>
      <c r="C839" s="14"/>
      <c r="D839" s="15"/>
      <c r="E839" s="15"/>
      <c r="F839" s="15"/>
      <c r="G839" s="12"/>
    </row>
    <row r="840">
      <c r="A840" s="12"/>
      <c r="B840" s="14"/>
      <c r="C840" s="14"/>
      <c r="D840" s="15"/>
      <c r="E840" s="15"/>
      <c r="F840" s="15"/>
      <c r="G840" s="12"/>
    </row>
    <row r="841">
      <c r="A841" s="12"/>
      <c r="B841" s="14"/>
      <c r="C841" s="14"/>
      <c r="D841" s="15"/>
      <c r="E841" s="15"/>
      <c r="F841" s="15"/>
      <c r="G841" s="12"/>
    </row>
    <row r="842">
      <c r="A842" s="12"/>
      <c r="B842" s="14"/>
      <c r="C842" s="14"/>
      <c r="D842" s="15"/>
      <c r="E842" s="15"/>
      <c r="F842" s="15"/>
      <c r="G842" s="12"/>
    </row>
    <row r="843">
      <c r="A843" s="12"/>
      <c r="B843" s="14"/>
      <c r="C843" s="14"/>
      <c r="D843" s="15"/>
      <c r="E843" s="15"/>
      <c r="F843" s="15"/>
      <c r="G843" s="12"/>
    </row>
    <row r="844">
      <c r="A844" s="12"/>
      <c r="B844" s="14"/>
      <c r="C844" s="14"/>
      <c r="D844" s="15"/>
      <c r="E844" s="15"/>
      <c r="F844" s="15"/>
      <c r="G844" s="12"/>
    </row>
    <row r="845">
      <c r="A845" s="12"/>
      <c r="B845" s="14"/>
      <c r="C845" s="14"/>
      <c r="D845" s="15"/>
      <c r="E845" s="15"/>
      <c r="F845" s="15"/>
      <c r="G845" s="12"/>
    </row>
    <row r="846">
      <c r="A846" s="12"/>
      <c r="B846" s="14"/>
      <c r="C846" s="14"/>
      <c r="D846" s="15"/>
      <c r="E846" s="15"/>
      <c r="F846" s="15"/>
      <c r="G846" s="12"/>
    </row>
    <row r="847">
      <c r="A847" s="12"/>
      <c r="B847" s="14"/>
      <c r="C847" s="14"/>
      <c r="D847" s="15"/>
      <c r="E847" s="15"/>
      <c r="F847" s="15"/>
      <c r="G847" s="12"/>
    </row>
    <row r="848">
      <c r="A848" s="12"/>
      <c r="B848" s="14"/>
      <c r="C848" s="14"/>
      <c r="D848" s="15"/>
      <c r="E848" s="15"/>
      <c r="F848" s="15"/>
      <c r="G848" s="12"/>
    </row>
    <row r="849">
      <c r="A849" s="12"/>
      <c r="B849" s="14"/>
      <c r="C849" s="14"/>
      <c r="D849" s="15"/>
      <c r="E849" s="15"/>
      <c r="F849" s="15"/>
      <c r="G849" s="12"/>
    </row>
    <row r="850">
      <c r="A850" s="12"/>
      <c r="B850" s="14"/>
      <c r="C850" s="14"/>
      <c r="D850" s="15"/>
      <c r="E850" s="15"/>
      <c r="F850" s="15"/>
      <c r="G850" s="12"/>
    </row>
    <row r="851">
      <c r="A851" s="12"/>
      <c r="B851" s="14"/>
      <c r="C851" s="14"/>
      <c r="D851" s="15"/>
      <c r="E851" s="15"/>
      <c r="F851" s="15"/>
      <c r="G851" s="12"/>
    </row>
    <row r="852">
      <c r="A852" s="12"/>
      <c r="B852" s="14"/>
      <c r="C852" s="14"/>
      <c r="D852" s="15"/>
      <c r="E852" s="15"/>
      <c r="F852" s="15"/>
      <c r="G852" s="12"/>
    </row>
    <row r="853">
      <c r="A853" s="12"/>
      <c r="B853" s="14"/>
      <c r="C853" s="14"/>
      <c r="D853" s="15"/>
      <c r="E853" s="15"/>
      <c r="F853" s="15"/>
      <c r="G853" s="12"/>
    </row>
    <row r="854">
      <c r="A854" s="12"/>
      <c r="B854" s="14"/>
      <c r="C854" s="14"/>
      <c r="D854" s="15"/>
      <c r="E854" s="15"/>
      <c r="F854" s="15"/>
      <c r="G854" s="12"/>
    </row>
    <row r="855">
      <c r="A855" s="12"/>
      <c r="B855" s="14"/>
      <c r="C855" s="14"/>
      <c r="D855" s="15"/>
      <c r="E855" s="15"/>
      <c r="F855" s="15"/>
      <c r="G855" s="12"/>
    </row>
    <row r="856">
      <c r="A856" s="12"/>
      <c r="B856" s="14"/>
      <c r="C856" s="14"/>
      <c r="D856" s="15"/>
      <c r="E856" s="15"/>
      <c r="F856" s="15"/>
      <c r="G856" s="12"/>
    </row>
    <row r="857">
      <c r="A857" s="12"/>
      <c r="B857" s="14"/>
      <c r="C857" s="14"/>
      <c r="D857" s="15"/>
      <c r="E857" s="15"/>
      <c r="F857" s="15"/>
      <c r="G857" s="12"/>
    </row>
    <row r="858">
      <c r="A858" s="12"/>
      <c r="B858" s="14"/>
      <c r="C858" s="14"/>
      <c r="D858" s="15"/>
      <c r="E858" s="15"/>
      <c r="F858" s="15"/>
      <c r="G858" s="12"/>
    </row>
    <row r="859">
      <c r="A859" s="12"/>
      <c r="B859" s="14"/>
      <c r="C859" s="14"/>
      <c r="D859" s="15"/>
      <c r="E859" s="15"/>
      <c r="F859" s="15"/>
      <c r="G859" s="12"/>
    </row>
    <row r="860">
      <c r="A860" s="12"/>
      <c r="B860" s="14"/>
      <c r="C860" s="14"/>
      <c r="D860" s="15"/>
      <c r="E860" s="15"/>
      <c r="F860" s="15"/>
      <c r="G860" s="12"/>
    </row>
    <row r="861">
      <c r="A861" s="12"/>
      <c r="B861" s="14"/>
      <c r="C861" s="14"/>
      <c r="D861" s="15"/>
      <c r="E861" s="15"/>
      <c r="F861" s="15"/>
      <c r="G861" s="12"/>
    </row>
    <row r="862">
      <c r="A862" s="12"/>
      <c r="B862" s="14"/>
      <c r="C862" s="14"/>
      <c r="D862" s="15"/>
      <c r="E862" s="15"/>
      <c r="F862" s="15"/>
      <c r="G862" s="12"/>
    </row>
    <row r="863">
      <c r="A863" s="12"/>
      <c r="B863" s="14"/>
      <c r="C863" s="14"/>
      <c r="D863" s="15"/>
      <c r="E863" s="15"/>
      <c r="F863" s="15"/>
      <c r="G863" s="12"/>
    </row>
    <row r="864">
      <c r="A864" s="12"/>
      <c r="B864" s="14"/>
      <c r="C864" s="14"/>
      <c r="D864" s="15"/>
      <c r="E864" s="15"/>
      <c r="F864" s="15"/>
      <c r="G864" s="12"/>
    </row>
    <row r="865">
      <c r="A865" s="12"/>
      <c r="B865" s="14"/>
      <c r="C865" s="14"/>
      <c r="D865" s="15"/>
      <c r="E865" s="15"/>
      <c r="F865" s="15"/>
      <c r="G865" s="12"/>
    </row>
    <row r="866">
      <c r="A866" s="12"/>
      <c r="B866" s="14"/>
      <c r="C866" s="14"/>
      <c r="D866" s="15"/>
      <c r="E866" s="15"/>
      <c r="F866" s="15"/>
      <c r="G866" s="12"/>
    </row>
    <row r="867">
      <c r="A867" s="12"/>
      <c r="B867" s="14"/>
      <c r="C867" s="14"/>
      <c r="D867" s="15"/>
      <c r="E867" s="15"/>
      <c r="F867" s="15"/>
      <c r="G867" s="12"/>
    </row>
    <row r="868">
      <c r="A868" s="12"/>
      <c r="B868" s="14"/>
      <c r="C868" s="14"/>
      <c r="D868" s="15"/>
      <c r="E868" s="15"/>
      <c r="F868" s="15"/>
      <c r="G868" s="12"/>
    </row>
    <row r="869">
      <c r="A869" s="12"/>
      <c r="B869" s="14"/>
      <c r="C869" s="14"/>
      <c r="D869" s="15"/>
      <c r="E869" s="15"/>
      <c r="F869" s="15"/>
      <c r="G869" s="12"/>
    </row>
    <row r="870">
      <c r="A870" s="12"/>
      <c r="B870" s="14"/>
      <c r="C870" s="14"/>
      <c r="D870" s="15"/>
      <c r="E870" s="15"/>
      <c r="F870" s="15"/>
      <c r="G870" s="12"/>
    </row>
    <row r="871">
      <c r="A871" s="12"/>
      <c r="B871" s="14"/>
      <c r="C871" s="14"/>
      <c r="D871" s="15"/>
      <c r="E871" s="15"/>
      <c r="F871" s="15"/>
      <c r="G871" s="12"/>
    </row>
    <row r="872">
      <c r="A872" s="12"/>
      <c r="B872" s="14"/>
      <c r="C872" s="14"/>
      <c r="D872" s="15"/>
      <c r="E872" s="15"/>
      <c r="F872" s="15"/>
      <c r="G872" s="12"/>
    </row>
    <row r="873">
      <c r="A873" s="12"/>
      <c r="B873" s="14"/>
      <c r="C873" s="14"/>
      <c r="D873" s="15"/>
      <c r="E873" s="15"/>
      <c r="F873" s="15"/>
      <c r="G873" s="12"/>
    </row>
    <row r="874">
      <c r="A874" s="12"/>
      <c r="B874" s="14"/>
      <c r="C874" s="14"/>
      <c r="D874" s="15"/>
      <c r="E874" s="15"/>
      <c r="F874" s="15"/>
      <c r="G874" s="12"/>
    </row>
    <row r="875">
      <c r="A875" s="12"/>
      <c r="B875" s="14"/>
      <c r="C875" s="14"/>
      <c r="D875" s="15"/>
      <c r="E875" s="15"/>
      <c r="F875" s="15"/>
      <c r="G875" s="12"/>
    </row>
    <row r="876">
      <c r="A876" s="12"/>
      <c r="B876" s="14"/>
      <c r="C876" s="14"/>
      <c r="D876" s="15"/>
      <c r="E876" s="15"/>
      <c r="F876" s="15"/>
      <c r="G876" s="12"/>
    </row>
    <row r="877">
      <c r="A877" s="12"/>
      <c r="B877" s="14"/>
      <c r="C877" s="14"/>
      <c r="D877" s="15"/>
      <c r="E877" s="15"/>
      <c r="F877" s="15"/>
      <c r="G877" s="12"/>
    </row>
    <row r="878">
      <c r="A878" s="12"/>
      <c r="B878" s="14"/>
      <c r="C878" s="14"/>
      <c r="D878" s="15"/>
      <c r="E878" s="15"/>
      <c r="F878" s="15"/>
      <c r="G878" s="12"/>
    </row>
    <row r="879">
      <c r="A879" s="12"/>
      <c r="B879" s="14"/>
      <c r="C879" s="14"/>
      <c r="D879" s="15"/>
      <c r="E879" s="15"/>
      <c r="F879" s="15"/>
      <c r="G879" s="12"/>
    </row>
    <row r="880">
      <c r="A880" s="12"/>
      <c r="B880" s="14"/>
      <c r="C880" s="14"/>
      <c r="D880" s="15"/>
      <c r="E880" s="15"/>
      <c r="F880" s="15"/>
      <c r="G880" s="12"/>
    </row>
    <row r="881">
      <c r="A881" s="12"/>
      <c r="B881" s="14"/>
      <c r="C881" s="14"/>
      <c r="D881" s="15"/>
      <c r="E881" s="15"/>
      <c r="F881" s="15"/>
      <c r="G881" s="12"/>
    </row>
    <row r="882">
      <c r="A882" s="12"/>
      <c r="B882" s="14"/>
      <c r="C882" s="14"/>
      <c r="D882" s="15"/>
      <c r="E882" s="15"/>
      <c r="F882" s="15"/>
      <c r="G882" s="12"/>
    </row>
    <row r="883">
      <c r="A883" s="12"/>
      <c r="B883" s="14"/>
      <c r="C883" s="14"/>
      <c r="D883" s="15"/>
      <c r="E883" s="15"/>
      <c r="F883" s="15"/>
      <c r="G883" s="12"/>
    </row>
    <row r="884">
      <c r="A884" s="12"/>
      <c r="B884" s="14"/>
      <c r="C884" s="14"/>
      <c r="D884" s="15"/>
      <c r="E884" s="15"/>
      <c r="F884" s="15"/>
      <c r="G884" s="12"/>
    </row>
    <row r="885">
      <c r="A885" s="12"/>
      <c r="B885" s="14"/>
      <c r="C885" s="14"/>
      <c r="D885" s="15"/>
      <c r="E885" s="15"/>
      <c r="F885" s="15"/>
      <c r="G885" s="12"/>
    </row>
    <row r="886">
      <c r="A886" s="12"/>
      <c r="B886" s="14"/>
      <c r="C886" s="14"/>
      <c r="D886" s="15"/>
      <c r="E886" s="15"/>
      <c r="F886" s="15"/>
      <c r="G886" s="12"/>
    </row>
    <row r="887">
      <c r="A887" s="12"/>
      <c r="B887" s="14"/>
      <c r="C887" s="14"/>
      <c r="D887" s="15"/>
      <c r="E887" s="15"/>
      <c r="F887" s="15"/>
      <c r="G887" s="12"/>
    </row>
    <row r="888">
      <c r="A888" s="12"/>
      <c r="B888" s="14"/>
      <c r="C888" s="14"/>
      <c r="D888" s="15"/>
      <c r="E888" s="15"/>
      <c r="F888" s="15"/>
      <c r="G888" s="12"/>
    </row>
    <row r="889">
      <c r="A889" s="12"/>
      <c r="B889" s="14"/>
      <c r="C889" s="14"/>
      <c r="D889" s="15"/>
      <c r="E889" s="15"/>
      <c r="F889" s="15"/>
      <c r="G889" s="12"/>
    </row>
    <row r="890">
      <c r="A890" s="12"/>
      <c r="B890" s="14"/>
      <c r="C890" s="14"/>
      <c r="D890" s="15"/>
      <c r="E890" s="15"/>
      <c r="F890" s="15"/>
      <c r="G890" s="12"/>
    </row>
    <row r="891">
      <c r="A891" s="12"/>
      <c r="B891" s="14"/>
      <c r="C891" s="14"/>
      <c r="D891" s="15"/>
      <c r="E891" s="15"/>
      <c r="F891" s="15"/>
      <c r="G891" s="12"/>
    </row>
    <row r="892">
      <c r="A892" s="12"/>
      <c r="B892" s="14"/>
      <c r="C892" s="14"/>
      <c r="D892" s="15"/>
      <c r="E892" s="15"/>
      <c r="F892" s="15"/>
      <c r="G892" s="12"/>
    </row>
    <row r="893">
      <c r="A893" s="12"/>
      <c r="B893" s="14"/>
      <c r="C893" s="14"/>
      <c r="D893" s="15"/>
      <c r="E893" s="15"/>
      <c r="F893" s="15"/>
      <c r="G893" s="12"/>
    </row>
    <row r="894">
      <c r="A894" s="12"/>
      <c r="B894" s="14"/>
      <c r="C894" s="14"/>
      <c r="D894" s="15"/>
      <c r="E894" s="15"/>
      <c r="F894" s="15"/>
      <c r="G894" s="12"/>
    </row>
    <row r="895">
      <c r="A895" s="12"/>
      <c r="B895" s="14"/>
      <c r="C895" s="14"/>
      <c r="D895" s="15"/>
      <c r="E895" s="15"/>
      <c r="F895" s="15"/>
      <c r="G895" s="12"/>
    </row>
    <row r="896">
      <c r="A896" s="12"/>
      <c r="B896" s="14"/>
      <c r="C896" s="14"/>
      <c r="D896" s="15"/>
      <c r="E896" s="15"/>
      <c r="F896" s="15"/>
      <c r="G896" s="12"/>
    </row>
    <row r="897">
      <c r="A897" s="12"/>
      <c r="B897" s="14"/>
      <c r="C897" s="14"/>
      <c r="D897" s="15"/>
      <c r="E897" s="15"/>
      <c r="F897" s="15"/>
      <c r="G897" s="12"/>
    </row>
    <row r="898">
      <c r="A898" s="12"/>
      <c r="B898" s="14"/>
      <c r="C898" s="14"/>
      <c r="D898" s="15"/>
      <c r="E898" s="15"/>
      <c r="F898" s="15"/>
      <c r="G898" s="12"/>
    </row>
    <row r="899">
      <c r="A899" s="12"/>
      <c r="B899" s="14"/>
      <c r="C899" s="14"/>
      <c r="D899" s="15"/>
      <c r="E899" s="15"/>
      <c r="F899" s="15"/>
      <c r="G899" s="12"/>
    </row>
    <row r="900">
      <c r="A900" s="12"/>
      <c r="B900" s="14"/>
      <c r="C900" s="14"/>
      <c r="D900" s="15"/>
      <c r="E900" s="15"/>
      <c r="F900" s="15"/>
      <c r="G900" s="12"/>
    </row>
    <row r="901">
      <c r="A901" s="12"/>
      <c r="B901" s="14"/>
      <c r="C901" s="14"/>
      <c r="D901" s="15"/>
      <c r="E901" s="15"/>
      <c r="F901" s="15"/>
      <c r="G901" s="12"/>
    </row>
    <row r="902">
      <c r="A902" s="12"/>
      <c r="B902" s="14"/>
      <c r="C902" s="14"/>
      <c r="D902" s="15"/>
      <c r="E902" s="15"/>
      <c r="F902" s="15"/>
      <c r="G902" s="12"/>
    </row>
    <row r="903">
      <c r="A903" s="12"/>
      <c r="B903" s="14"/>
      <c r="C903" s="14"/>
      <c r="D903" s="15"/>
      <c r="E903" s="15"/>
      <c r="F903" s="15"/>
      <c r="G903" s="12"/>
    </row>
    <row r="904">
      <c r="A904" s="12"/>
      <c r="B904" s="14"/>
      <c r="C904" s="14"/>
      <c r="D904" s="15"/>
      <c r="E904" s="15"/>
      <c r="F904" s="15"/>
      <c r="G904" s="12"/>
    </row>
    <row r="905">
      <c r="A905" s="12"/>
      <c r="B905" s="14"/>
      <c r="C905" s="14"/>
      <c r="D905" s="15"/>
      <c r="E905" s="15"/>
      <c r="F905" s="15"/>
      <c r="G905" s="12"/>
    </row>
    <row r="906">
      <c r="A906" s="12"/>
      <c r="B906" s="14"/>
      <c r="C906" s="14"/>
      <c r="D906" s="15"/>
      <c r="E906" s="15"/>
      <c r="F906" s="15"/>
      <c r="G906" s="12"/>
    </row>
    <row r="907">
      <c r="A907" s="12"/>
      <c r="B907" s="14"/>
      <c r="C907" s="14"/>
      <c r="D907" s="15"/>
      <c r="E907" s="15"/>
      <c r="F907" s="15"/>
      <c r="G907" s="12"/>
    </row>
    <row r="908">
      <c r="A908" s="12"/>
      <c r="B908" s="14"/>
      <c r="C908" s="14"/>
      <c r="D908" s="15"/>
      <c r="E908" s="15"/>
      <c r="F908" s="15"/>
      <c r="G908" s="12"/>
    </row>
    <row r="909">
      <c r="A909" s="12"/>
      <c r="B909" s="14"/>
      <c r="C909" s="14"/>
      <c r="D909" s="15"/>
      <c r="E909" s="15"/>
      <c r="F909" s="15"/>
      <c r="G909" s="12"/>
    </row>
    <row r="910">
      <c r="A910" s="12"/>
      <c r="B910" s="14"/>
      <c r="C910" s="14"/>
      <c r="D910" s="15"/>
      <c r="E910" s="15"/>
      <c r="F910" s="15"/>
      <c r="G910" s="12"/>
    </row>
    <row r="911">
      <c r="A911" s="12"/>
      <c r="B911" s="14"/>
      <c r="C911" s="14"/>
      <c r="D911" s="15"/>
      <c r="E911" s="15"/>
      <c r="F911" s="15"/>
      <c r="G911" s="12"/>
    </row>
    <row r="912">
      <c r="A912" s="12"/>
      <c r="B912" s="14"/>
      <c r="C912" s="14"/>
      <c r="D912" s="15"/>
      <c r="E912" s="15"/>
      <c r="F912" s="15"/>
      <c r="G912" s="12"/>
    </row>
    <row r="913">
      <c r="A913" s="12"/>
      <c r="B913" s="14"/>
      <c r="C913" s="14"/>
      <c r="D913" s="15"/>
      <c r="E913" s="15"/>
      <c r="F913" s="15"/>
      <c r="G913" s="12"/>
    </row>
    <row r="914">
      <c r="A914" s="12"/>
      <c r="B914" s="14"/>
      <c r="C914" s="14"/>
      <c r="D914" s="15"/>
      <c r="E914" s="15"/>
      <c r="F914" s="15"/>
      <c r="G914" s="12"/>
    </row>
    <row r="915">
      <c r="A915" s="12"/>
      <c r="B915" s="14"/>
      <c r="C915" s="14"/>
      <c r="D915" s="15"/>
      <c r="E915" s="15"/>
      <c r="F915" s="15"/>
      <c r="G915" s="12"/>
    </row>
    <row r="916">
      <c r="A916" s="12"/>
      <c r="B916" s="14"/>
      <c r="C916" s="14"/>
      <c r="D916" s="15"/>
      <c r="E916" s="15"/>
      <c r="F916" s="15"/>
      <c r="G916" s="12"/>
    </row>
    <row r="917">
      <c r="A917" s="12"/>
      <c r="B917" s="14"/>
      <c r="C917" s="14"/>
      <c r="D917" s="15"/>
      <c r="E917" s="15"/>
      <c r="F917" s="15"/>
      <c r="G917" s="12"/>
    </row>
    <row r="918">
      <c r="A918" s="12"/>
      <c r="B918" s="14"/>
      <c r="C918" s="14"/>
      <c r="D918" s="15"/>
      <c r="E918" s="15"/>
      <c r="F918" s="15"/>
      <c r="G918" s="12"/>
    </row>
    <row r="919">
      <c r="A919" s="12"/>
      <c r="B919" s="14"/>
      <c r="C919" s="14"/>
      <c r="D919" s="15"/>
      <c r="E919" s="15"/>
      <c r="F919" s="15"/>
      <c r="G919" s="12"/>
    </row>
    <row r="920">
      <c r="A920" s="12"/>
      <c r="B920" s="14"/>
      <c r="C920" s="14"/>
      <c r="D920" s="15"/>
      <c r="E920" s="15"/>
      <c r="F920" s="15"/>
      <c r="G920" s="12"/>
    </row>
    <row r="921">
      <c r="A921" s="12"/>
      <c r="B921" s="14"/>
      <c r="C921" s="14"/>
      <c r="D921" s="15"/>
      <c r="E921" s="15"/>
      <c r="F921" s="15"/>
      <c r="G921" s="12"/>
    </row>
    <row r="922">
      <c r="A922" s="12"/>
      <c r="B922" s="14"/>
      <c r="C922" s="14"/>
      <c r="D922" s="15"/>
      <c r="E922" s="15"/>
      <c r="F922" s="15"/>
      <c r="G922" s="12"/>
    </row>
    <row r="923">
      <c r="A923" s="12"/>
      <c r="B923" s="14"/>
      <c r="C923" s="14"/>
      <c r="D923" s="15"/>
      <c r="E923" s="15"/>
      <c r="F923" s="15"/>
      <c r="G923" s="12"/>
    </row>
    <row r="924">
      <c r="A924" s="12"/>
      <c r="B924" s="14"/>
      <c r="C924" s="14"/>
      <c r="D924" s="15"/>
      <c r="E924" s="15"/>
      <c r="F924" s="15"/>
      <c r="G924" s="12"/>
    </row>
    <row r="925">
      <c r="A925" s="12"/>
      <c r="B925" s="14"/>
      <c r="C925" s="14"/>
      <c r="D925" s="15"/>
      <c r="E925" s="15"/>
      <c r="F925" s="15"/>
      <c r="G925" s="12"/>
    </row>
    <row r="926">
      <c r="A926" s="12"/>
      <c r="B926" s="14"/>
      <c r="C926" s="14"/>
      <c r="D926" s="15"/>
      <c r="E926" s="15"/>
      <c r="F926" s="15"/>
      <c r="G926" s="12"/>
    </row>
    <row r="927">
      <c r="A927" s="12"/>
      <c r="B927" s="14"/>
      <c r="C927" s="14"/>
      <c r="D927" s="15"/>
      <c r="E927" s="15"/>
      <c r="F927" s="15"/>
      <c r="G927" s="12"/>
    </row>
    <row r="928">
      <c r="A928" s="12"/>
      <c r="B928" s="14"/>
      <c r="C928" s="14"/>
      <c r="D928" s="15"/>
      <c r="E928" s="15"/>
      <c r="F928" s="15"/>
      <c r="G928" s="12"/>
    </row>
    <row r="929">
      <c r="A929" s="12"/>
      <c r="B929" s="14"/>
      <c r="C929" s="14"/>
      <c r="D929" s="15"/>
      <c r="E929" s="15"/>
      <c r="F929" s="15"/>
      <c r="G929" s="12"/>
    </row>
    <row r="930">
      <c r="A930" s="12"/>
      <c r="B930" s="14"/>
      <c r="C930" s="14"/>
      <c r="D930" s="15"/>
      <c r="E930" s="15"/>
      <c r="F930" s="15"/>
      <c r="G930" s="12"/>
    </row>
    <row r="931">
      <c r="A931" s="12"/>
      <c r="B931" s="14"/>
      <c r="C931" s="14"/>
      <c r="D931" s="15"/>
      <c r="E931" s="15"/>
      <c r="F931" s="15"/>
      <c r="G931" s="12"/>
    </row>
    <row r="932">
      <c r="A932" s="12"/>
      <c r="B932" s="14"/>
      <c r="C932" s="14"/>
      <c r="D932" s="15"/>
      <c r="E932" s="15"/>
      <c r="F932" s="15"/>
      <c r="G932" s="12"/>
    </row>
    <row r="933">
      <c r="A933" s="12"/>
      <c r="B933" s="14"/>
      <c r="C933" s="14"/>
      <c r="D933" s="15"/>
      <c r="E933" s="15"/>
      <c r="F933" s="15"/>
      <c r="G933" s="12"/>
    </row>
    <row r="934">
      <c r="A934" s="12"/>
      <c r="B934" s="14"/>
      <c r="C934" s="14"/>
      <c r="D934" s="15"/>
      <c r="E934" s="15"/>
      <c r="F934" s="15"/>
      <c r="G934" s="12"/>
    </row>
    <row r="935">
      <c r="A935" s="12"/>
      <c r="B935" s="14"/>
      <c r="C935" s="14"/>
      <c r="D935" s="15"/>
      <c r="E935" s="15"/>
      <c r="F935" s="15"/>
      <c r="G935" s="12"/>
    </row>
    <row r="936">
      <c r="A936" s="12"/>
      <c r="B936" s="14"/>
      <c r="C936" s="14"/>
      <c r="D936" s="15"/>
      <c r="E936" s="15"/>
      <c r="F936" s="15"/>
      <c r="G936" s="12"/>
    </row>
    <row r="937">
      <c r="A937" s="12"/>
      <c r="B937" s="14"/>
      <c r="C937" s="14"/>
      <c r="D937" s="15"/>
      <c r="E937" s="15"/>
      <c r="F937" s="15"/>
      <c r="G937" s="12"/>
    </row>
    <row r="938">
      <c r="A938" s="12"/>
      <c r="B938" s="14"/>
      <c r="C938" s="14"/>
      <c r="D938" s="15"/>
      <c r="E938" s="15"/>
      <c r="F938" s="15"/>
      <c r="G938" s="12"/>
    </row>
    <row r="939">
      <c r="A939" s="12"/>
      <c r="B939" s="14"/>
      <c r="C939" s="14"/>
      <c r="D939" s="15"/>
      <c r="E939" s="15"/>
      <c r="F939" s="15"/>
      <c r="G939" s="12"/>
    </row>
    <row r="940">
      <c r="A940" s="12"/>
      <c r="B940" s="14"/>
      <c r="C940" s="14"/>
      <c r="D940" s="15"/>
      <c r="E940" s="15"/>
      <c r="F940" s="15"/>
      <c r="G940" s="12"/>
    </row>
    <row r="941">
      <c r="A941" s="12"/>
      <c r="B941" s="14"/>
      <c r="C941" s="14"/>
      <c r="D941" s="15"/>
      <c r="E941" s="15"/>
      <c r="F941" s="15"/>
      <c r="G941" s="12"/>
    </row>
    <row r="942">
      <c r="A942" s="12"/>
      <c r="B942" s="14"/>
      <c r="C942" s="14"/>
      <c r="D942" s="15"/>
      <c r="E942" s="15"/>
      <c r="F942" s="15"/>
      <c r="G942" s="12"/>
    </row>
    <row r="943">
      <c r="A943" s="12"/>
      <c r="B943" s="14"/>
      <c r="C943" s="14"/>
      <c r="D943" s="15"/>
      <c r="E943" s="15"/>
      <c r="F943" s="15"/>
      <c r="G943" s="12"/>
    </row>
    <row r="944">
      <c r="A944" s="12"/>
      <c r="B944" s="14"/>
      <c r="C944" s="14"/>
      <c r="D944" s="15"/>
      <c r="E944" s="15"/>
      <c r="F944" s="15"/>
      <c r="G944" s="12"/>
    </row>
    <row r="945">
      <c r="A945" s="12"/>
      <c r="B945" s="14"/>
      <c r="C945" s="14"/>
      <c r="D945" s="15"/>
      <c r="E945" s="15"/>
      <c r="F945" s="15"/>
      <c r="G945" s="12"/>
    </row>
    <row r="946">
      <c r="A946" s="12"/>
      <c r="B946" s="14"/>
      <c r="C946" s="14"/>
      <c r="D946" s="15"/>
      <c r="E946" s="15"/>
      <c r="F946" s="15"/>
      <c r="G946" s="12"/>
    </row>
    <row r="947">
      <c r="A947" s="12"/>
      <c r="B947" s="14"/>
      <c r="C947" s="14"/>
      <c r="D947" s="15"/>
      <c r="E947" s="15"/>
      <c r="F947" s="15"/>
      <c r="G947" s="12"/>
    </row>
    <row r="948">
      <c r="A948" s="12"/>
      <c r="B948" s="14"/>
      <c r="C948" s="14"/>
      <c r="D948" s="15"/>
      <c r="E948" s="15"/>
      <c r="F948" s="15"/>
      <c r="G948" s="12"/>
    </row>
    <row r="949">
      <c r="A949" s="12"/>
      <c r="B949" s="14"/>
      <c r="C949" s="14"/>
      <c r="D949" s="15"/>
      <c r="E949" s="15"/>
      <c r="F949" s="15"/>
      <c r="G949" s="12"/>
    </row>
    <row r="950">
      <c r="A950" s="12"/>
      <c r="B950" s="14"/>
      <c r="C950" s="14"/>
      <c r="D950" s="15"/>
      <c r="E950" s="15"/>
      <c r="F950" s="15"/>
      <c r="G950" s="12"/>
    </row>
    <row r="951">
      <c r="A951" s="12"/>
      <c r="B951" s="14"/>
      <c r="C951" s="14"/>
      <c r="D951" s="15"/>
      <c r="E951" s="15"/>
      <c r="F951" s="15"/>
      <c r="G951" s="12"/>
    </row>
    <row r="952">
      <c r="A952" s="12"/>
      <c r="B952" s="14"/>
      <c r="C952" s="14"/>
      <c r="D952" s="15"/>
      <c r="E952" s="15"/>
      <c r="F952" s="15"/>
      <c r="G952" s="12"/>
    </row>
    <row r="953">
      <c r="A953" s="12"/>
      <c r="B953" s="14"/>
      <c r="C953" s="14"/>
      <c r="D953" s="15"/>
      <c r="E953" s="15"/>
      <c r="F953" s="15"/>
      <c r="G953" s="12"/>
    </row>
    <row r="954">
      <c r="A954" s="12"/>
      <c r="B954" s="14"/>
      <c r="C954" s="14"/>
      <c r="D954" s="15"/>
      <c r="E954" s="15"/>
      <c r="F954" s="15"/>
      <c r="G954" s="12"/>
    </row>
    <row r="955">
      <c r="A955" s="12"/>
      <c r="B955" s="14"/>
      <c r="C955" s="14"/>
      <c r="D955" s="15"/>
      <c r="E955" s="15"/>
      <c r="F955" s="15"/>
      <c r="G955" s="12"/>
    </row>
    <row r="956">
      <c r="A956" s="12"/>
      <c r="B956" s="14"/>
      <c r="C956" s="14"/>
      <c r="D956" s="15"/>
      <c r="E956" s="15"/>
      <c r="F956" s="15"/>
      <c r="G956" s="12"/>
    </row>
    <row r="957">
      <c r="A957" s="12"/>
      <c r="B957" s="14"/>
      <c r="C957" s="14"/>
      <c r="D957" s="15"/>
      <c r="E957" s="15"/>
      <c r="F957" s="15"/>
      <c r="G957" s="12"/>
    </row>
    <row r="958">
      <c r="A958" s="12"/>
      <c r="B958" s="14"/>
      <c r="C958" s="14"/>
      <c r="D958" s="15"/>
      <c r="E958" s="15"/>
      <c r="F958" s="15"/>
      <c r="G958" s="12"/>
    </row>
    <row r="959">
      <c r="A959" s="12"/>
      <c r="B959" s="14"/>
      <c r="C959" s="14"/>
      <c r="D959" s="15"/>
      <c r="E959" s="15"/>
      <c r="F959" s="15"/>
      <c r="G959" s="12"/>
    </row>
    <row r="960">
      <c r="A960" s="12"/>
      <c r="B960" s="14"/>
      <c r="C960" s="14"/>
      <c r="D960" s="15"/>
      <c r="E960" s="15"/>
      <c r="F960" s="15"/>
      <c r="G960" s="12"/>
    </row>
    <row r="961">
      <c r="A961" s="12"/>
      <c r="B961" s="14"/>
      <c r="C961" s="14"/>
      <c r="D961" s="15"/>
      <c r="E961" s="15"/>
      <c r="F961" s="15"/>
      <c r="G961" s="12"/>
    </row>
    <row r="962">
      <c r="A962" s="12"/>
      <c r="B962" s="14"/>
      <c r="C962" s="14"/>
      <c r="D962" s="15"/>
      <c r="E962" s="15"/>
      <c r="F962" s="15"/>
      <c r="G962" s="12"/>
    </row>
    <row r="963">
      <c r="A963" s="12"/>
      <c r="B963" s="14"/>
      <c r="C963" s="14"/>
      <c r="D963" s="15"/>
      <c r="E963" s="15"/>
      <c r="F963" s="15"/>
      <c r="G963" s="12"/>
    </row>
    <row r="964">
      <c r="A964" s="12"/>
      <c r="B964" s="14"/>
      <c r="C964" s="14"/>
      <c r="D964" s="15"/>
      <c r="E964" s="15"/>
      <c r="F964" s="15"/>
      <c r="G964" s="12"/>
    </row>
    <row r="965">
      <c r="A965" s="12"/>
      <c r="B965" s="14"/>
      <c r="C965" s="14"/>
      <c r="D965" s="15"/>
      <c r="E965" s="15"/>
      <c r="F965" s="15"/>
      <c r="G965" s="12"/>
    </row>
    <row r="966">
      <c r="A966" s="12"/>
      <c r="B966" s="14"/>
      <c r="C966" s="14"/>
      <c r="D966" s="15"/>
      <c r="E966" s="15"/>
      <c r="F966" s="15"/>
      <c r="G966" s="12"/>
    </row>
    <row r="967">
      <c r="A967" s="12"/>
      <c r="B967" s="14"/>
      <c r="C967" s="14"/>
      <c r="D967" s="15"/>
      <c r="E967" s="15"/>
      <c r="F967" s="15"/>
      <c r="G967" s="12"/>
    </row>
    <row r="968">
      <c r="A968" s="12"/>
      <c r="B968" s="14"/>
      <c r="C968" s="14"/>
      <c r="D968" s="15"/>
      <c r="E968" s="15"/>
      <c r="F968" s="15"/>
      <c r="G968" s="12"/>
    </row>
    <row r="969">
      <c r="A969" s="12"/>
      <c r="B969" s="14"/>
      <c r="C969" s="14"/>
      <c r="D969" s="15"/>
      <c r="E969" s="15"/>
      <c r="F969" s="15"/>
      <c r="G969" s="12"/>
    </row>
    <row r="970">
      <c r="A970" s="12"/>
      <c r="B970" s="14"/>
      <c r="C970" s="14"/>
      <c r="D970" s="15"/>
      <c r="E970" s="15"/>
      <c r="F970" s="15"/>
      <c r="G970" s="12"/>
    </row>
    <row r="971">
      <c r="A971" s="12"/>
      <c r="B971" s="14"/>
      <c r="C971" s="14"/>
      <c r="D971" s="15"/>
      <c r="E971" s="15"/>
      <c r="F971" s="15"/>
      <c r="G971" s="12"/>
    </row>
    <row r="972">
      <c r="A972" s="12"/>
      <c r="B972" s="14"/>
      <c r="C972" s="14"/>
      <c r="D972" s="15"/>
      <c r="E972" s="15"/>
      <c r="F972" s="15"/>
      <c r="G972" s="12"/>
    </row>
    <row r="973">
      <c r="A973" s="12"/>
      <c r="B973" s="14"/>
      <c r="C973" s="14"/>
      <c r="D973" s="15"/>
      <c r="E973" s="15"/>
      <c r="F973" s="15"/>
      <c r="G973" s="12"/>
    </row>
    <row r="974">
      <c r="A974" s="12"/>
      <c r="B974" s="14"/>
      <c r="C974" s="14"/>
      <c r="D974" s="15"/>
      <c r="E974" s="15"/>
      <c r="F974" s="15"/>
      <c r="G974" s="12"/>
    </row>
    <row r="975">
      <c r="A975" s="12"/>
      <c r="B975" s="14"/>
      <c r="C975" s="14"/>
      <c r="D975" s="15"/>
      <c r="E975" s="15"/>
      <c r="F975" s="15"/>
      <c r="G975" s="12"/>
    </row>
    <row r="976">
      <c r="A976" s="12"/>
      <c r="B976" s="14"/>
      <c r="C976" s="14"/>
      <c r="D976" s="15"/>
      <c r="E976" s="15"/>
      <c r="F976" s="15"/>
      <c r="G976" s="12"/>
    </row>
    <row r="977">
      <c r="A977" s="12"/>
      <c r="B977" s="14"/>
      <c r="C977" s="14"/>
      <c r="D977" s="15"/>
      <c r="E977" s="15"/>
      <c r="F977" s="15"/>
      <c r="G977" s="12"/>
    </row>
    <row r="978">
      <c r="A978" s="12"/>
      <c r="B978" s="14"/>
      <c r="C978" s="14"/>
      <c r="D978" s="15"/>
      <c r="E978" s="15"/>
      <c r="F978" s="15"/>
      <c r="G978" s="12"/>
    </row>
    <row r="979">
      <c r="A979" s="12"/>
      <c r="B979" s="14"/>
      <c r="C979" s="14"/>
      <c r="D979" s="15"/>
      <c r="E979" s="15"/>
      <c r="F979" s="15"/>
      <c r="G979" s="12"/>
    </row>
    <row r="980">
      <c r="A980" s="12"/>
      <c r="B980" s="14"/>
      <c r="C980" s="14"/>
      <c r="D980" s="15"/>
      <c r="E980" s="15"/>
      <c r="F980" s="15"/>
      <c r="G980" s="12"/>
    </row>
    <row r="981">
      <c r="A981" s="12"/>
      <c r="B981" s="14"/>
      <c r="C981" s="14"/>
      <c r="D981" s="15"/>
      <c r="E981" s="15"/>
      <c r="F981" s="15"/>
      <c r="G981" s="12"/>
    </row>
    <row r="982">
      <c r="A982" s="12"/>
      <c r="B982" s="14"/>
      <c r="C982" s="14"/>
      <c r="D982" s="15"/>
      <c r="E982" s="15"/>
      <c r="F982" s="15"/>
      <c r="G982" s="12"/>
    </row>
    <row r="983">
      <c r="A983" s="12"/>
      <c r="B983" s="14"/>
      <c r="C983" s="14"/>
      <c r="D983" s="15"/>
      <c r="E983" s="15"/>
      <c r="F983" s="15"/>
      <c r="G983" s="12"/>
    </row>
    <row r="984">
      <c r="A984" s="12"/>
      <c r="B984" s="14"/>
      <c r="C984" s="14"/>
      <c r="D984" s="15"/>
      <c r="E984" s="15"/>
      <c r="F984" s="15"/>
      <c r="G984" s="12"/>
    </row>
    <row r="985">
      <c r="A985" s="12"/>
      <c r="B985" s="14"/>
      <c r="C985" s="14"/>
      <c r="D985" s="15"/>
      <c r="E985" s="15"/>
      <c r="F985" s="15"/>
      <c r="G985" s="12"/>
    </row>
    <row r="986">
      <c r="A986" s="12"/>
      <c r="B986" s="14"/>
      <c r="C986" s="14"/>
      <c r="D986" s="15"/>
      <c r="E986" s="15"/>
      <c r="F986" s="15"/>
      <c r="G986" s="12"/>
    </row>
    <row r="987">
      <c r="A987" s="12"/>
      <c r="B987" s="14"/>
      <c r="C987" s="14"/>
      <c r="D987" s="15"/>
      <c r="E987" s="15"/>
      <c r="F987" s="15"/>
      <c r="G987" s="12"/>
    </row>
    <row r="988">
      <c r="A988" s="12"/>
      <c r="B988" s="14"/>
      <c r="C988" s="14"/>
      <c r="D988" s="15"/>
      <c r="E988" s="15"/>
      <c r="F988" s="15"/>
      <c r="G988" s="12"/>
    </row>
    <row r="989">
      <c r="A989" s="12"/>
      <c r="B989" s="14"/>
      <c r="C989" s="14"/>
      <c r="D989" s="15"/>
      <c r="E989" s="15"/>
      <c r="F989" s="15"/>
      <c r="G989" s="12"/>
    </row>
    <row r="990">
      <c r="A990" s="12"/>
      <c r="B990" s="14"/>
      <c r="C990" s="14"/>
      <c r="D990" s="15"/>
      <c r="E990" s="15"/>
      <c r="F990" s="15"/>
      <c r="G990" s="12"/>
    </row>
    <row r="991">
      <c r="A991" s="12"/>
      <c r="B991" s="14"/>
      <c r="C991" s="14"/>
      <c r="D991" s="15"/>
      <c r="E991" s="15"/>
      <c r="F991" s="15"/>
      <c r="G991" s="12"/>
    </row>
    <row r="992">
      <c r="A992" s="12"/>
      <c r="B992" s="14"/>
      <c r="C992" s="14"/>
      <c r="D992" s="15"/>
      <c r="E992" s="15"/>
      <c r="F992" s="15"/>
      <c r="G992" s="12"/>
    </row>
    <row r="993">
      <c r="A993" s="12"/>
      <c r="B993" s="14"/>
      <c r="C993" s="14"/>
      <c r="D993" s="15"/>
      <c r="E993" s="15"/>
      <c r="F993" s="15"/>
      <c r="G993" s="12"/>
    </row>
    <row r="994">
      <c r="A994" s="12"/>
      <c r="B994" s="14"/>
      <c r="C994" s="14"/>
      <c r="D994" s="15"/>
      <c r="E994" s="15"/>
      <c r="F994" s="15"/>
      <c r="G994" s="12"/>
    </row>
    <row r="995">
      <c r="A995" s="12"/>
      <c r="B995" s="14"/>
      <c r="C995" s="14"/>
      <c r="D995" s="15"/>
      <c r="E995" s="15"/>
      <c r="F995" s="15"/>
      <c r="G995" s="12"/>
    </row>
    <row r="996">
      <c r="A996" s="12"/>
      <c r="B996" s="14"/>
      <c r="C996" s="14"/>
      <c r="D996" s="15"/>
      <c r="E996" s="15"/>
      <c r="F996" s="15"/>
      <c r="G996" s="12"/>
    </row>
    <row r="997">
      <c r="A997" s="12"/>
      <c r="B997" s="14"/>
      <c r="C997" s="14"/>
      <c r="D997" s="15"/>
      <c r="E997" s="15"/>
      <c r="F997" s="15"/>
      <c r="G997" s="12"/>
    </row>
    <row r="998">
      <c r="A998" s="12"/>
      <c r="B998" s="14"/>
      <c r="C998" s="14"/>
      <c r="D998" s="15"/>
      <c r="E998" s="15"/>
      <c r="F998" s="15"/>
      <c r="G998" s="12"/>
    </row>
    <row r="999">
      <c r="A999" s="12"/>
      <c r="B999" s="14"/>
      <c r="C999" s="14"/>
      <c r="D999" s="15"/>
      <c r="E999" s="15"/>
      <c r="F999" s="15"/>
      <c r="G999" s="12"/>
    </row>
    <row r="1000">
      <c r="A1000" s="12"/>
      <c r="B1000" s="14"/>
      <c r="C1000" s="14"/>
      <c r="D1000" s="15"/>
      <c r="E1000" s="15"/>
      <c r="F1000" s="15"/>
      <c r="G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  <col hidden="1" min="7" max="9" width="12.63"/>
    <col customWidth="1" hidden="1" min="10" max="10" width="3.25"/>
    <col customWidth="1" min="11" max="11" width="23.38"/>
    <col customWidth="1" min="12" max="12" width="37.63"/>
  </cols>
  <sheetData>
    <row r="1">
      <c r="A1" s="9" t="str">
        <f>IFERROR(__xludf.DUMMYFUNCTION("UNIQUE(QUERY(WEB_Preguntas!A1:A1000, ""SELECT A WHERE A IS NOT NULL"", 1))"),"ID Completo")</f>
        <v>ID Completo</v>
      </c>
      <c r="B1" s="9"/>
      <c r="C1" s="9"/>
      <c r="D1" s="9"/>
      <c r="E1" s="9"/>
      <c r="F1" s="9"/>
      <c r="G1" s="9"/>
      <c r="H1" s="9"/>
      <c r="I1" s="9"/>
      <c r="J1" s="13"/>
      <c r="K1" s="13" t="s">
        <v>27</v>
      </c>
      <c r="L1" s="16" t="s">
        <v>31</v>
      </c>
      <c r="M1" s="18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25.0" customHeight="1">
      <c r="A2" s="20" t="str">
        <f>IFERROR(__xludf.DUMMYFUNCTION("""COMPUTED_VALUE"""),"001/U1/ET24DE17/4/2/Mañana/GADO/LLENOLIO, Claudio")</f>
        <v>001/U1/ET24DE17/4/2/Mañana/GADO/LLENOLIO, Claudio</v>
      </c>
      <c r="B2" s="20"/>
      <c r="C2" s="20"/>
      <c r="D2" s="20"/>
      <c r="E2" s="20"/>
      <c r="F2" s="20"/>
      <c r="G2" s="20"/>
      <c r="H2" s="20"/>
      <c r="I2" s="20"/>
      <c r="J2" s="20"/>
      <c r="K2" s="22" t="str">
        <f t="shared" ref="K2:K54" si="1">"https://script.google.com/macros/s/AKfycbxnfgFhqTPV70hE9affz6QCq0KJoI5Zkph5cqR3ULoIUApVecALJ_6HZMzohF-GXvUB/exec?id=" &amp; ENCODEURL(A2)</f>
        <v>https://script.google.com/macros/s/AKfycbxnfgFhqTPV70hE9affz6QCq0KJoI5Zkph5cqR3ULoIUApVecALJ_6HZMzohF-GXvUB/exec?id=001%2FU1%2FET24DE17%2F4%2F2%2FMa%C3%B1ana%2FGADO%2FLLENOLIO%2C%20Claudio</v>
      </c>
      <c r="L2" s="20" t="str">
        <f t="shared" ref="L2:L54" si="2">IMAGE("https://quickchart.io/qr?size=200&amp;text=" &amp; ENCODEURL(K2))</f>
        <v/>
      </c>
      <c r="M2" s="23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225.0" customHeight="1">
      <c r="A3" s="20" t="str">
        <f>IFERROR(__xludf.DUMMYFUNCTION("""COMPUTED_VALUE"""),"002/U1/ET24DE17/4/2/Mañana/GADO/LLENOLIO, Claudio")</f>
        <v>002/U1/ET24DE17/4/2/Mañana/GADO/LLENOLIO, Claudio</v>
      </c>
      <c r="B3" s="20"/>
      <c r="C3" s="20"/>
      <c r="D3" s="20"/>
      <c r="E3" s="20"/>
      <c r="F3" s="20"/>
      <c r="G3" s="20"/>
      <c r="H3" s="20"/>
      <c r="I3" s="20"/>
      <c r="J3" s="20"/>
      <c r="K3" s="22" t="str">
        <f t="shared" si="1"/>
        <v>https://script.google.com/macros/s/AKfycbxnfgFhqTPV70hE9affz6QCq0KJoI5Zkph5cqR3ULoIUApVecALJ_6HZMzohF-GXvUB/exec?id=002%2FU1%2FET24DE17%2F4%2F2%2FMa%C3%B1ana%2FGADO%2FLLENOLIO%2C%20Claudio</v>
      </c>
      <c r="L3" s="20" t="str">
        <f t="shared" si="2"/>
        <v/>
      </c>
      <c r="M3" s="23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225.0" customHeight="1">
      <c r="A4" s="20" t="str">
        <f>IFERROR(__xludf.DUMMYFUNCTION("""COMPUTED_VALUE"""),"006/U1/ET24DE17/1/1/Mañana/CMTP/LLENOLIO, Claudio")</f>
        <v>006/U1/ET24DE17/1/1/Mañana/CMTP/LLENOLIO, Claudio</v>
      </c>
      <c r="B4" s="20"/>
      <c r="C4" s="20"/>
      <c r="D4" s="20"/>
      <c r="E4" s="20"/>
      <c r="F4" s="20"/>
      <c r="G4" s="20"/>
      <c r="H4" s="20"/>
      <c r="I4" s="20"/>
      <c r="J4" s="20"/>
      <c r="K4" s="22" t="str">
        <f t="shared" si="1"/>
        <v>https://script.google.com/macros/s/AKfycbxnfgFhqTPV70hE9affz6QCq0KJoI5Zkph5cqR3ULoIUApVecALJ_6HZMzohF-GXvUB/exec?id=006%2FU1%2FET24DE17%2F1%2F1%2FMa%C3%B1ana%2FCMTP%2FLLENOLIO%2C%20Claudio</v>
      </c>
      <c r="L4" s="20" t="str">
        <f t="shared" si="2"/>
        <v/>
      </c>
      <c r="M4" s="23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225.0" customHeight="1">
      <c r="A5" s="20" t="str">
        <f>IFERROR(__xludf.DUMMYFUNCTION("""COMPUTED_VALUE"""),"010/U1/ET24DE17/1/1/Mañana/CMTP/LLENOLIO, Claudio")</f>
        <v>010/U1/ET24DE17/1/1/Mañana/CMTP/LLENOLIO, Claudio</v>
      </c>
      <c r="B5" s="20"/>
      <c r="C5" s="20"/>
      <c r="D5" s="20"/>
      <c r="E5" s="20"/>
      <c r="F5" s="20"/>
      <c r="G5" s="20"/>
      <c r="H5" s="20"/>
      <c r="I5" s="20"/>
      <c r="K5" s="22" t="str">
        <f t="shared" si="1"/>
        <v>https://script.google.com/macros/s/AKfycbxnfgFhqTPV70hE9affz6QCq0KJoI5Zkph5cqR3ULoIUApVecALJ_6HZMzohF-GXvUB/exec?id=010%2FU1%2FET24DE17%2F1%2F1%2FMa%C3%B1ana%2FCMTP%2FLLENOLIO%2C%20Claudio</v>
      </c>
      <c r="L5" s="20" t="str">
        <f t="shared" si="2"/>
        <v/>
      </c>
      <c r="M5" s="23"/>
    </row>
    <row r="6" ht="225.0" customHeight="1">
      <c r="A6" s="20"/>
      <c r="B6" s="20"/>
      <c r="C6" s="20"/>
      <c r="D6" s="20"/>
      <c r="E6" s="20"/>
      <c r="F6" s="20"/>
      <c r="G6" s="20"/>
      <c r="H6" s="20"/>
      <c r="I6" s="20"/>
      <c r="K6" s="22" t="str">
        <f t="shared" si="1"/>
        <v>https://script.google.com/macros/s/AKfycbxnfgFhqTPV70hE9affz6QCq0KJoI5Zkph5cqR3ULoIUApVecALJ_6HZMzohF-GXvUB/exec?id=</v>
      </c>
      <c r="L6" s="20" t="str">
        <f t="shared" si="2"/>
        <v/>
      </c>
      <c r="M6" s="23"/>
    </row>
    <row r="7" ht="225.0" customHeight="1">
      <c r="A7" s="20"/>
      <c r="B7" s="20"/>
      <c r="C7" s="20"/>
      <c r="D7" s="20"/>
      <c r="E7" s="20"/>
      <c r="F7" s="20"/>
      <c r="G7" s="20"/>
      <c r="H7" s="20"/>
      <c r="I7" s="20"/>
      <c r="K7" s="22" t="str">
        <f t="shared" si="1"/>
        <v>https://script.google.com/macros/s/AKfycbxnfgFhqTPV70hE9affz6QCq0KJoI5Zkph5cqR3ULoIUApVecALJ_6HZMzohF-GXvUB/exec?id=</v>
      </c>
      <c r="L7" s="20" t="str">
        <f t="shared" si="2"/>
        <v/>
      </c>
      <c r="M7" s="23"/>
    </row>
    <row r="8" ht="225.0" customHeight="1">
      <c r="A8" s="20"/>
      <c r="B8" s="20"/>
      <c r="C8" s="20"/>
      <c r="D8" s="20"/>
      <c r="E8" s="20"/>
      <c r="F8" s="20"/>
      <c r="G8" s="20"/>
      <c r="H8" s="20"/>
      <c r="I8" s="20"/>
      <c r="K8" s="22" t="str">
        <f t="shared" si="1"/>
        <v>https://script.google.com/macros/s/AKfycbxnfgFhqTPV70hE9affz6QCq0KJoI5Zkph5cqR3ULoIUApVecALJ_6HZMzohF-GXvUB/exec?id=</v>
      </c>
      <c r="L8" s="20" t="str">
        <f t="shared" si="2"/>
        <v/>
      </c>
      <c r="M8" s="23"/>
    </row>
    <row r="9" ht="225.0" customHeight="1">
      <c r="A9" s="20"/>
      <c r="B9" s="20"/>
      <c r="C9" s="20"/>
      <c r="D9" s="20"/>
      <c r="E9" s="20"/>
      <c r="F9" s="20"/>
      <c r="G9" s="20"/>
      <c r="H9" s="20"/>
      <c r="I9" s="20"/>
      <c r="K9" s="22" t="str">
        <f t="shared" si="1"/>
        <v>https://script.google.com/macros/s/AKfycbxnfgFhqTPV70hE9affz6QCq0KJoI5Zkph5cqR3ULoIUApVecALJ_6HZMzohF-GXvUB/exec?id=</v>
      </c>
      <c r="L9" s="20" t="str">
        <f t="shared" si="2"/>
        <v/>
      </c>
      <c r="M9" s="23"/>
    </row>
    <row r="10" ht="225.0" customHeight="1">
      <c r="A10" s="20"/>
      <c r="B10" s="20"/>
      <c r="C10" s="20"/>
      <c r="D10" s="20"/>
      <c r="E10" s="20"/>
      <c r="F10" s="20"/>
      <c r="G10" s="20"/>
      <c r="H10" s="20"/>
      <c r="I10" s="20"/>
      <c r="K10" s="22" t="str">
        <f t="shared" si="1"/>
        <v>https://script.google.com/macros/s/AKfycbxnfgFhqTPV70hE9affz6QCq0KJoI5Zkph5cqR3ULoIUApVecALJ_6HZMzohF-GXvUB/exec?id=</v>
      </c>
      <c r="L10" s="20" t="str">
        <f t="shared" si="2"/>
        <v/>
      </c>
      <c r="M10" s="23"/>
    </row>
    <row r="11" ht="225.0" customHeight="1">
      <c r="A11" s="20"/>
      <c r="B11" s="20"/>
      <c r="C11" s="20"/>
      <c r="D11" s="20"/>
      <c r="E11" s="20"/>
      <c r="F11" s="20"/>
      <c r="G11" s="20"/>
      <c r="H11" s="20"/>
      <c r="I11" s="20"/>
      <c r="K11" s="22" t="str">
        <f t="shared" si="1"/>
        <v>https://script.google.com/macros/s/AKfycbxnfgFhqTPV70hE9affz6QCq0KJoI5Zkph5cqR3ULoIUApVecALJ_6HZMzohF-GXvUB/exec?id=</v>
      </c>
      <c r="L11" s="20" t="str">
        <f t="shared" si="2"/>
        <v/>
      </c>
      <c r="M11" s="23"/>
    </row>
    <row r="12" ht="225.0" customHeight="1">
      <c r="A12" s="20"/>
      <c r="B12" s="20"/>
      <c r="C12" s="20"/>
      <c r="D12" s="20"/>
      <c r="E12" s="20"/>
      <c r="F12" s="20"/>
      <c r="G12" s="20"/>
      <c r="H12" s="20"/>
      <c r="I12" s="20"/>
      <c r="K12" s="22" t="str">
        <f t="shared" si="1"/>
        <v>https://script.google.com/macros/s/AKfycbxnfgFhqTPV70hE9affz6QCq0KJoI5Zkph5cqR3ULoIUApVecALJ_6HZMzohF-GXvUB/exec?id=</v>
      </c>
      <c r="L12" s="20" t="str">
        <f t="shared" si="2"/>
        <v/>
      </c>
      <c r="M12" s="23"/>
    </row>
    <row r="13" ht="225.0" customHeight="1">
      <c r="A13" s="20"/>
      <c r="B13" s="20"/>
      <c r="C13" s="20"/>
      <c r="D13" s="20"/>
      <c r="E13" s="20"/>
      <c r="F13" s="20"/>
      <c r="G13" s="20"/>
      <c r="H13" s="20"/>
      <c r="I13" s="20"/>
      <c r="K13" s="22" t="str">
        <f t="shared" si="1"/>
        <v>https://script.google.com/macros/s/AKfycbxnfgFhqTPV70hE9affz6QCq0KJoI5Zkph5cqR3ULoIUApVecALJ_6HZMzohF-GXvUB/exec?id=</v>
      </c>
      <c r="L13" s="20" t="str">
        <f t="shared" si="2"/>
        <v/>
      </c>
      <c r="M13" s="23"/>
    </row>
    <row r="14" ht="225.0" customHeight="1">
      <c r="A14" s="20"/>
      <c r="B14" s="20"/>
      <c r="C14" s="20"/>
      <c r="D14" s="20"/>
      <c r="E14" s="20"/>
      <c r="F14" s="20"/>
      <c r="G14" s="20"/>
      <c r="H14" s="20"/>
      <c r="I14" s="20"/>
      <c r="K14" s="22" t="str">
        <f t="shared" si="1"/>
        <v>https://script.google.com/macros/s/AKfycbxnfgFhqTPV70hE9affz6QCq0KJoI5Zkph5cqR3ULoIUApVecALJ_6HZMzohF-GXvUB/exec?id=</v>
      </c>
      <c r="L14" s="20" t="str">
        <f t="shared" si="2"/>
        <v/>
      </c>
      <c r="M14" s="23"/>
    </row>
    <row r="15" ht="225.0" customHeight="1">
      <c r="A15" s="20"/>
      <c r="B15" s="20"/>
      <c r="C15" s="20"/>
      <c r="D15" s="20"/>
      <c r="E15" s="20"/>
      <c r="F15" s="20"/>
      <c r="G15" s="20"/>
      <c r="H15" s="20"/>
      <c r="I15" s="20"/>
      <c r="K15" s="22" t="str">
        <f t="shared" si="1"/>
        <v>https://script.google.com/macros/s/AKfycbxnfgFhqTPV70hE9affz6QCq0KJoI5Zkph5cqR3ULoIUApVecALJ_6HZMzohF-GXvUB/exec?id=</v>
      </c>
      <c r="L15" s="20" t="str">
        <f t="shared" si="2"/>
        <v/>
      </c>
      <c r="M15" s="23"/>
    </row>
    <row r="16" ht="225.0" customHeight="1">
      <c r="A16" s="20"/>
      <c r="B16" s="20"/>
      <c r="C16" s="20"/>
      <c r="D16" s="20"/>
      <c r="E16" s="20"/>
      <c r="F16" s="20"/>
      <c r="G16" s="20"/>
      <c r="H16" s="20"/>
      <c r="I16" s="20"/>
      <c r="K16" s="22" t="str">
        <f t="shared" si="1"/>
        <v>https://script.google.com/macros/s/AKfycbxnfgFhqTPV70hE9affz6QCq0KJoI5Zkph5cqR3ULoIUApVecALJ_6HZMzohF-GXvUB/exec?id=</v>
      </c>
      <c r="L16" s="20" t="str">
        <f t="shared" si="2"/>
        <v/>
      </c>
      <c r="M16" s="23"/>
    </row>
    <row r="17" ht="225.0" customHeight="1">
      <c r="A17" s="20"/>
      <c r="B17" s="20"/>
      <c r="C17" s="20"/>
      <c r="D17" s="20"/>
      <c r="E17" s="20"/>
      <c r="F17" s="20"/>
      <c r="G17" s="20"/>
      <c r="H17" s="20"/>
      <c r="I17" s="20"/>
      <c r="K17" s="22" t="str">
        <f t="shared" si="1"/>
        <v>https://script.google.com/macros/s/AKfycbxnfgFhqTPV70hE9affz6QCq0KJoI5Zkph5cqR3ULoIUApVecALJ_6HZMzohF-GXvUB/exec?id=</v>
      </c>
      <c r="L17" s="20" t="str">
        <f t="shared" si="2"/>
        <v/>
      </c>
      <c r="M17" s="23"/>
    </row>
    <row r="18" ht="225.0" customHeight="1">
      <c r="A18" s="20"/>
      <c r="B18" s="20"/>
      <c r="C18" s="20"/>
      <c r="D18" s="20"/>
      <c r="E18" s="20"/>
      <c r="F18" s="20"/>
      <c r="G18" s="20"/>
      <c r="H18" s="20"/>
      <c r="I18" s="20"/>
      <c r="K18" s="22" t="str">
        <f t="shared" si="1"/>
        <v>https://script.google.com/macros/s/AKfycbxnfgFhqTPV70hE9affz6QCq0KJoI5Zkph5cqR3ULoIUApVecALJ_6HZMzohF-GXvUB/exec?id=</v>
      </c>
      <c r="L18" s="20" t="str">
        <f t="shared" si="2"/>
        <v/>
      </c>
      <c r="M18" s="23"/>
    </row>
    <row r="19" ht="225.0" customHeight="1">
      <c r="A19" s="20"/>
      <c r="B19" s="20"/>
      <c r="C19" s="20"/>
      <c r="D19" s="20"/>
      <c r="E19" s="20"/>
      <c r="F19" s="20"/>
      <c r="G19" s="20"/>
      <c r="H19" s="20"/>
      <c r="I19" s="20"/>
      <c r="K19" s="22" t="str">
        <f t="shared" si="1"/>
        <v>https://script.google.com/macros/s/AKfycbxnfgFhqTPV70hE9affz6QCq0KJoI5Zkph5cqR3ULoIUApVecALJ_6HZMzohF-GXvUB/exec?id=</v>
      </c>
      <c r="L19" s="20" t="str">
        <f t="shared" si="2"/>
        <v/>
      </c>
      <c r="M19" s="23"/>
    </row>
    <row r="20" ht="225.0" customHeight="1">
      <c r="A20" s="20"/>
      <c r="B20" s="20"/>
      <c r="C20" s="20"/>
      <c r="D20" s="20"/>
      <c r="E20" s="20"/>
      <c r="F20" s="20"/>
      <c r="G20" s="20"/>
      <c r="H20" s="20"/>
      <c r="I20" s="20"/>
      <c r="K20" s="22" t="str">
        <f t="shared" si="1"/>
        <v>https://script.google.com/macros/s/AKfycbxnfgFhqTPV70hE9affz6QCq0KJoI5Zkph5cqR3ULoIUApVecALJ_6HZMzohF-GXvUB/exec?id=</v>
      </c>
      <c r="L20" s="20" t="str">
        <f t="shared" si="2"/>
        <v/>
      </c>
      <c r="M20" s="23"/>
    </row>
    <row r="21" ht="225.0" customHeight="1">
      <c r="A21" s="20"/>
      <c r="B21" s="20"/>
      <c r="C21" s="20"/>
      <c r="D21" s="20"/>
      <c r="E21" s="20"/>
      <c r="F21" s="20"/>
      <c r="G21" s="20"/>
      <c r="H21" s="20"/>
      <c r="I21" s="20"/>
      <c r="K21" s="22" t="str">
        <f t="shared" si="1"/>
        <v>https://script.google.com/macros/s/AKfycbxnfgFhqTPV70hE9affz6QCq0KJoI5Zkph5cqR3ULoIUApVecALJ_6HZMzohF-GXvUB/exec?id=</v>
      </c>
      <c r="L21" s="20" t="str">
        <f t="shared" si="2"/>
        <v/>
      </c>
      <c r="M21" s="23"/>
    </row>
    <row r="22" ht="225.0" customHeight="1">
      <c r="A22" s="20"/>
      <c r="B22" s="20"/>
      <c r="C22" s="20"/>
      <c r="D22" s="20"/>
      <c r="E22" s="20"/>
      <c r="F22" s="20"/>
      <c r="G22" s="20"/>
      <c r="H22" s="20"/>
      <c r="I22" s="20"/>
      <c r="K22" s="22" t="str">
        <f t="shared" si="1"/>
        <v>https://script.google.com/macros/s/AKfycbxnfgFhqTPV70hE9affz6QCq0KJoI5Zkph5cqR3ULoIUApVecALJ_6HZMzohF-GXvUB/exec?id=</v>
      </c>
      <c r="L22" s="20" t="str">
        <f t="shared" si="2"/>
        <v/>
      </c>
      <c r="M22" s="23"/>
    </row>
    <row r="23" ht="225.0" customHeight="1">
      <c r="A23" s="20"/>
      <c r="B23" s="20"/>
      <c r="C23" s="20"/>
      <c r="D23" s="20"/>
      <c r="E23" s="20"/>
      <c r="F23" s="20"/>
      <c r="G23" s="20"/>
      <c r="H23" s="20"/>
      <c r="I23" s="20"/>
      <c r="K23" s="22" t="str">
        <f t="shared" si="1"/>
        <v>https://script.google.com/macros/s/AKfycbxnfgFhqTPV70hE9affz6QCq0KJoI5Zkph5cqR3ULoIUApVecALJ_6HZMzohF-GXvUB/exec?id=</v>
      </c>
      <c r="L23" s="20" t="str">
        <f t="shared" si="2"/>
        <v/>
      </c>
      <c r="M23" s="24" t="s">
        <v>105</v>
      </c>
    </row>
    <row r="24" ht="225.0" customHeight="1">
      <c r="A24" s="20"/>
      <c r="B24" s="20"/>
      <c r="C24" s="20"/>
      <c r="D24" s="20"/>
      <c r="E24" s="20"/>
      <c r="F24" s="20"/>
      <c r="G24" s="20"/>
      <c r="H24" s="20"/>
      <c r="I24" s="20"/>
      <c r="K24" s="22" t="str">
        <f t="shared" si="1"/>
        <v>https://script.google.com/macros/s/AKfycbxnfgFhqTPV70hE9affz6QCq0KJoI5Zkph5cqR3ULoIUApVecALJ_6HZMzohF-GXvUB/exec?id=</v>
      </c>
      <c r="L24" s="20" t="str">
        <f t="shared" si="2"/>
        <v/>
      </c>
      <c r="M24" s="24" t="s">
        <v>108</v>
      </c>
    </row>
    <row r="25" ht="225.0" customHeight="1">
      <c r="A25" s="20"/>
      <c r="B25" s="20"/>
      <c r="C25" s="20"/>
      <c r="D25" s="20"/>
      <c r="E25" s="20"/>
      <c r="F25" s="20"/>
      <c r="G25" s="20"/>
      <c r="H25" s="20"/>
      <c r="I25" s="20"/>
      <c r="K25" s="22" t="str">
        <f t="shared" si="1"/>
        <v>https://script.google.com/macros/s/AKfycbxnfgFhqTPV70hE9affz6QCq0KJoI5Zkph5cqR3ULoIUApVecALJ_6HZMzohF-GXvUB/exec?id=</v>
      </c>
      <c r="L25" s="20" t="str">
        <f t="shared" si="2"/>
        <v/>
      </c>
      <c r="M25" s="24" t="s">
        <v>110</v>
      </c>
    </row>
    <row r="26" ht="225.0" customHeight="1">
      <c r="A26" s="20"/>
      <c r="B26" s="20"/>
      <c r="C26" s="20"/>
      <c r="D26" s="20"/>
      <c r="E26" s="20"/>
      <c r="F26" s="20"/>
      <c r="G26" s="20"/>
      <c r="H26" s="20"/>
      <c r="I26" s="20"/>
      <c r="K26" s="22" t="str">
        <f t="shared" si="1"/>
        <v>https://script.google.com/macros/s/AKfycbxnfgFhqTPV70hE9affz6QCq0KJoI5Zkph5cqR3ULoIUApVecALJ_6HZMzohF-GXvUB/exec?id=</v>
      </c>
      <c r="L26" s="20" t="str">
        <f t="shared" si="2"/>
        <v/>
      </c>
      <c r="M26" s="23"/>
    </row>
    <row r="27" ht="225.0" customHeight="1">
      <c r="A27" s="20"/>
      <c r="B27" s="20"/>
      <c r="C27" s="20"/>
      <c r="D27" s="20"/>
      <c r="E27" s="20"/>
      <c r="F27" s="20"/>
      <c r="G27" s="20"/>
      <c r="H27" s="20"/>
      <c r="I27" s="20"/>
      <c r="K27" s="22" t="str">
        <f t="shared" si="1"/>
        <v>https://script.google.com/macros/s/AKfycbxnfgFhqTPV70hE9affz6QCq0KJoI5Zkph5cqR3ULoIUApVecALJ_6HZMzohF-GXvUB/exec?id=</v>
      </c>
      <c r="L27" s="20" t="str">
        <f t="shared" si="2"/>
        <v/>
      </c>
      <c r="M27" s="23"/>
    </row>
    <row r="28" ht="225.0" customHeight="1">
      <c r="A28" s="20"/>
      <c r="B28" s="20"/>
      <c r="C28" s="20"/>
      <c r="D28" s="20"/>
      <c r="E28" s="20"/>
      <c r="F28" s="20"/>
      <c r="G28" s="20"/>
      <c r="H28" s="20"/>
      <c r="I28" s="20"/>
      <c r="K28" s="22" t="str">
        <f t="shared" si="1"/>
        <v>https://script.google.com/macros/s/AKfycbxnfgFhqTPV70hE9affz6QCq0KJoI5Zkph5cqR3ULoIUApVecALJ_6HZMzohF-GXvUB/exec?id=</v>
      </c>
      <c r="L28" s="20" t="str">
        <f t="shared" si="2"/>
        <v/>
      </c>
      <c r="M28" s="23"/>
    </row>
    <row r="29" ht="225.0" customHeight="1">
      <c r="A29" s="20"/>
      <c r="B29" s="20"/>
      <c r="C29" s="20"/>
      <c r="D29" s="20"/>
      <c r="E29" s="20"/>
      <c r="F29" s="20"/>
      <c r="G29" s="20"/>
      <c r="H29" s="20"/>
      <c r="I29" s="20"/>
      <c r="K29" s="22" t="str">
        <f t="shared" si="1"/>
        <v>https://script.google.com/macros/s/AKfycbxnfgFhqTPV70hE9affz6QCq0KJoI5Zkph5cqR3ULoIUApVecALJ_6HZMzohF-GXvUB/exec?id=</v>
      </c>
      <c r="L29" s="20" t="str">
        <f t="shared" si="2"/>
        <v/>
      </c>
      <c r="M29" s="23"/>
    </row>
    <row r="30" ht="225.0" customHeight="1">
      <c r="A30" s="20"/>
      <c r="B30" s="20"/>
      <c r="C30" s="20"/>
      <c r="D30" s="20"/>
      <c r="E30" s="20"/>
      <c r="F30" s="20"/>
      <c r="G30" s="20"/>
      <c r="H30" s="20"/>
      <c r="I30" s="20"/>
      <c r="K30" s="22" t="str">
        <f t="shared" si="1"/>
        <v>https://script.google.com/macros/s/AKfycbxnfgFhqTPV70hE9affz6QCq0KJoI5Zkph5cqR3ULoIUApVecALJ_6HZMzohF-GXvUB/exec?id=</v>
      </c>
      <c r="L30" s="20" t="str">
        <f t="shared" si="2"/>
        <v/>
      </c>
      <c r="M30" s="23"/>
    </row>
    <row r="31" ht="225.0" customHeight="1">
      <c r="A31" s="20"/>
      <c r="B31" s="20"/>
      <c r="C31" s="20"/>
      <c r="D31" s="20"/>
      <c r="E31" s="20"/>
      <c r="F31" s="20"/>
      <c r="G31" s="20"/>
      <c r="H31" s="20"/>
      <c r="I31" s="20"/>
      <c r="K31" s="22" t="str">
        <f t="shared" si="1"/>
        <v>https://script.google.com/macros/s/AKfycbxnfgFhqTPV70hE9affz6QCq0KJoI5Zkph5cqR3ULoIUApVecALJ_6HZMzohF-GXvUB/exec?id=</v>
      </c>
      <c r="L31" s="20" t="str">
        <f t="shared" si="2"/>
        <v/>
      </c>
      <c r="M31" s="23"/>
    </row>
    <row r="32" ht="225.0" customHeight="1">
      <c r="A32" s="20"/>
      <c r="B32" s="20"/>
      <c r="C32" s="20"/>
      <c r="D32" s="20"/>
      <c r="E32" s="20"/>
      <c r="F32" s="20"/>
      <c r="G32" s="20"/>
      <c r="H32" s="20"/>
      <c r="I32" s="20"/>
      <c r="K32" s="22" t="str">
        <f t="shared" si="1"/>
        <v>https://script.google.com/macros/s/AKfycbxnfgFhqTPV70hE9affz6QCq0KJoI5Zkph5cqR3ULoIUApVecALJ_6HZMzohF-GXvUB/exec?id=</v>
      </c>
      <c r="L32" s="20" t="str">
        <f t="shared" si="2"/>
        <v/>
      </c>
      <c r="M32" s="23"/>
    </row>
    <row r="33" ht="225.0" customHeight="1">
      <c r="A33" s="20"/>
      <c r="B33" s="20"/>
      <c r="C33" s="20"/>
      <c r="D33" s="20"/>
      <c r="E33" s="20"/>
      <c r="F33" s="20"/>
      <c r="G33" s="20"/>
      <c r="H33" s="20"/>
      <c r="I33" s="20"/>
      <c r="K33" s="22" t="str">
        <f t="shared" si="1"/>
        <v>https://script.google.com/macros/s/AKfycbxnfgFhqTPV70hE9affz6QCq0KJoI5Zkph5cqR3ULoIUApVecALJ_6HZMzohF-GXvUB/exec?id=</v>
      </c>
      <c r="L33" s="20" t="str">
        <f t="shared" si="2"/>
        <v/>
      </c>
      <c r="M33" s="23"/>
    </row>
    <row r="34" ht="225.0" customHeight="1">
      <c r="A34" s="20"/>
      <c r="B34" s="20"/>
      <c r="C34" s="20"/>
      <c r="D34" s="20"/>
      <c r="E34" s="20"/>
      <c r="F34" s="20"/>
      <c r="G34" s="20"/>
      <c r="H34" s="20"/>
      <c r="I34" s="20"/>
      <c r="K34" s="22" t="str">
        <f t="shared" si="1"/>
        <v>https://script.google.com/macros/s/AKfycbxnfgFhqTPV70hE9affz6QCq0KJoI5Zkph5cqR3ULoIUApVecALJ_6HZMzohF-GXvUB/exec?id=</v>
      </c>
      <c r="L34" s="20" t="str">
        <f t="shared" si="2"/>
        <v/>
      </c>
      <c r="M34" s="23"/>
    </row>
    <row r="35" ht="225.0" customHeight="1">
      <c r="A35" s="20"/>
      <c r="B35" s="20"/>
      <c r="C35" s="20"/>
      <c r="D35" s="20"/>
      <c r="E35" s="20"/>
      <c r="F35" s="20"/>
      <c r="G35" s="20"/>
      <c r="H35" s="20"/>
      <c r="I35" s="20"/>
      <c r="K35" s="22" t="str">
        <f t="shared" si="1"/>
        <v>https://script.google.com/macros/s/AKfycbxnfgFhqTPV70hE9affz6QCq0KJoI5Zkph5cqR3ULoIUApVecALJ_6HZMzohF-GXvUB/exec?id=</v>
      </c>
      <c r="L35" s="20" t="str">
        <f t="shared" si="2"/>
        <v/>
      </c>
      <c r="M35" s="23"/>
    </row>
    <row r="36">
      <c r="A36" s="20"/>
      <c r="B36" s="20"/>
      <c r="C36" s="20"/>
      <c r="D36" s="20"/>
      <c r="E36" s="20"/>
      <c r="F36" s="20"/>
      <c r="G36" s="20"/>
      <c r="H36" s="20"/>
      <c r="I36" s="20"/>
      <c r="K36" s="22" t="str">
        <f t="shared" si="1"/>
        <v>https://script.google.com/macros/s/AKfycbxnfgFhqTPV70hE9affz6QCq0KJoI5Zkph5cqR3ULoIUApVecALJ_6HZMzohF-GXvUB/exec?id=</v>
      </c>
      <c r="L36" s="20" t="str">
        <f t="shared" si="2"/>
        <v/>
      </c>
      <c r="M36" s="23"/>
    </row>
    <row r="37">
      <c r="A37" s="20"/>
      <c r="B37" s="20"/>
      <c r="C37" s="20"/>
      <c r="D37" s="20"/>
      <c r="E37" s="20"/>
      <c r="F37" s="20"/>
      <c r="G37" s="20"/>
      <c r="H37" s="20"/>
      <c r="I37" s="20"/>
      <c r="K37" s="22" t="str">
        <f t="shared" si="1"/>
        <v>https://script.google.com/macros/s/AKfycbxnfgFhqTPV70hE9affz6QCq0KJoI5Zkph5cqR3ULoIUApVecALJ_6HZMzohF-GXvUB/exec?id=</v>
      </c>
      <c r="L37" s="20" t="str">
        <f t="shared" si="2"/>
        <v/>
      </c>
      <c r="M37" s="23"/>
    </row>
    <row r="38">
      <c r="A38" s="20"/>
      <c r="B38" s="20"/>
      <c r="C38" s="20"/>
      <c r="D38" s="20"/>
      <c r="E38" s="20"/>
      <c r="F38" s="20"/>
      <c r="G38" s="20"/>
      <c r="H38" s="20"/>
      <c r="I38" s="20"/>
      <c r="K38" s="22" t="str">
        <f t="shared" si="1"/>
        <v>https://script.google.com/macros/s/AKfycbxnfgFhqTPV70hE9affz6QCq0KJoI5Zkph5cqR3ULoIUApVecALJ_6HZMzohF-GXvUB/exec?id=</v>
      </c>
      <c r="L38" s="20" t="str">
        <f t="shared" si="2"/>
        <v/>
      </c>
      <c r="M38" s="23"/>
    </row>
    <row r="39">
      <c r="A39" s="20"/>
      <c r="B39" s="20"/>
      <c r="C39" s="20"/>
      <c r="D39" s="20"/>
      <c r="E39" s="20"/>
      <c r="F39" s="20"/>
      <c r="G39" s="20"/>
      <c r="H39" s="20"/>
      <c r="I39" s="20"/>
      <c r="K39" s="22" t="str">
        <f t="shared" si="1"/>
        <v>https://script.google.com/macros/s/AKfycbxnfgFhqTPV70hE9affz6QCq0KJoI5Zkph5cqR3ULoIUApVecALJ_6HZMzohF-GXvUB/exec?id=</v>
      </c>
      <c r="L39" s="20" t="str">
        <f t="shared" si="2"/>
        <v/>
      </c>
      <c r="M39" s="23"/>
    </row>
    <row r="40">
      <c r="A40" s="20"/>
      <c r="B40" s="20"/>
      <c r="C40" s="20"/>
      <c r="D40" s="20"/>
      <c r="E40" s="20"/>
      <c r="F40" s="20"/>
      <c r="G40" s="20"/>
      <c r="H40" s="20"/>
      <c r="I40" s="20"/>
      <c r="K40" s="22" t="str">
        <f t="shared" si="1"/>
        <v>https://script.google.com/macros/s/AKfycbxnfgFhqTPV70hE9affz6QCq0KJoI5Zkph5cqR3ULoIUApVecALJ_6HZMzohF-GXvUB/exec?id=</v>
      </c>
      <c r="L40" s="20" t="str">
        <f t="shared" si="2"/>
        <v/>
      </c>
      <c r="M40" s="23"/>
    </row>
    <row r="41">
      <c r="A41" s="20"/>
      <c r="B41" s="20"/>
      <c r="C41" s="20"/>
      <c r="D41" s="20"/>
      <c r="E41" s="20"/>
      <c r="F41" s="20"/>
      <c r="G41" s="20"/>
      <c r="H41" s="20"/>
      <c r="I41" s="20"/>
      <c r="K41" s="22" t="str">
        <f t="shared" si="1"/>
        <v>https://script.google.com/macros/s/AKfycbxnfgFhqTPV70hE9affz6QCq0KJoI5Zkph5cqR3ULoIUApVecALJ_6HZMzohF-GXvUB/exec?id=</v>
      </c>
      <c r="L41" s="20" t="str">
        <f t="shared" si="2"/>
        <v/>
      </c>
      <c r="M41" s="23"/>
    </row>
    <row r="42">
      <c r="A42" s="20"/>
      <c r="B42" s="20"/>
      <c r="C42" s="20"/>
      <c r="D42" s="20"/>
      <c r="E42" s="20"/>
      <c r="F42" s="20"/>
      <c r="G42" s="20"/>
      <c r="H42" s="20"/>
      <c r="I42" s="20"/>
      <c r="K42" s="22" t="str">
        <f t="shared" si="1"/>
        <v>https://script.google.com/macros/s/AKfycbxnfgFhqTPV70hE9affz6QCq0KJoI5Zkph5cqR3ULoIUApVecALJ_6HZMzohF-GXvUB/exec?id=</v>
      </c>
      <c r="L42" s="20" t="str">
        <f t="shared" si="2"/>
        <v/>
      </c>
      <c r="M42" s="23"/>
    </row>
    <row r="43">
      <c r="A43" s="20"/>
      <c r="B43" s="20"/>
      <c r="C43" s="20"/>
      <c r="D43" s="20"/>
      <c r="E43" s="20"/>
      <c r="F43" s="20"/>
      <c r="G43" s="20"/>
      <c r="H43" s="20"/>
      <c r="I43" s="20"/>
      <c r="K43" s="22" t="str">
        <f t="shared" si="1"/>
        <v>https://script.google.com/macros/s/AKfycbxnfgFhqTPV70hE9affz6QCq0KJoI5Zkph5cqR3ULoIUApVecALJ_6HZMzohF-GXvUB/exec?id=</v>
      </c>
      <c r="L43" s="20" t="str">
        <f t="shared" si="2"/>
        <v/>
      </c>
      <c r="M43" s="23"/>
    </row>
    <row r="44">
      <c r="A44" s="20"/>
      <c r="B44" s="20"/>
      <c r="C44" s="20"/>
      <c r="D44" s="20"/>
      <c r="E44" s="20"/>
      <c r="F44" s="20"/>
      <c r="G44" s="20"/>
      <c r="H44" s="20"/>
      <c r="I44" s="20"/>
      <c r="K44" s="22" t="str">
        <f t="shared" si="1"/>
        <v>https://script.google.com/macros/s/AKfycbxnfgFhqTPV70hE9affz6QCq0KJoI5Zkph5cqR3ULoIUApVecALJ_6HZMzohF-GXvUB/exec?id=</v>
      </c>
      <c r="L44" s="20" t="str">
        <f t="shared" si="2"/>
        <v/>
      </c>
      <c r="M44" s="23"/>
    </row>
    <row r="45">
      <c r="A45" s="20"/>
      <c r="B45" s="20"/>
      <c r="C45" s="20"/>
      <c r="D45" s="20"/>
      <c r="E45" s="20"/>
      <c r="F45" s="20"/>
      <c r="G45" s="20"/>
      <c r="H45" s="20"/>
      <c r="I45" s="20"/>
      <c r="K45" s="22" t="str">
        <f t="shared" si="1"/>
        <v>https://script.google.com/macros/s/AKfycbxnfgFhqTPV70hE9affz6QCq0KJoI5Zkph5cqR3ULoIUApVecALJ_6HZMzohF-GXvUB/exec?id=</v>
      </c>
      <c r="L45" s="20" t="str">
        <f t="shared" si="2"/>
        <v/>
      </c>
      <c r="M45" s="23"/>
    </row>
    <row r="46">
      <c r="A46" s="20"/>
      <c r="B46" s="20"/>
      <c r="C46" s="20"/>
      <c r="D46" s="20"/>
      <c r="E46" s="20"/>
      <c r="F46" s="20"/>
      <c r="G46" s="20"/>
      <c r="H46" s="20"/>
      <c r="I46" s="20"/>
      <c r="K46" s="22" t="str">
        <f t="shared" si="1"/>
        <v>https://script.google.com/macros/s/AKfycbxnfgFhqTPV70hE9affz6QCq0KJoI5Zkph5cqR3ULoIUApVecALJ_6HZMzohF-GXvUB/exec?id=</v>
      </c>
      <c r="L46" s="20" t="str">
        <f t="shared" si="2"/>
        <v/>
      </c>
      <c r="M46" s="23"/>
    </row>
    <row r="47">
      <c r="A47" s="20"/>
      <c r="B47" s="20"/>
      <c r="C47" s="20"/>
      <c r="D47" s="20"/>
      <c r="E47" s="20"/>
      <c r="F47" s="20"/>
      <c r="G47" s="20"/>
      <c r="H47" s="20"/>
      <c r="I47" s="20"/>
      <c r="K47" s="22" t="str">
        <f t="shared" si="1"/>
        <v>https://script.google.com/macros/s/AKfycbxnfgFhqTPV70hE9affz6QCq0KJoI5Zkph5cqR3ULoIUApVecALJ_6HZMzohF-GXvUB/exec?id=</v>
      </c>
      <c r="L47" s="20" t="str">
        <f t="shared" si="2"/>
        <v/>
      </c>
      <c r="M47" s="23"/>
    </row>
    <row r="48">
      <c r="A48" s="20"/>
      <c r="B48" s="20"/>
      <c r="C48" s="20"/>
      <c r="D48" s="20"/>
      <c r="E48" s="20"/>
      <c r="F48" s="20"/>
      <c r="G48" s="20"/>
      <c r="H48" s="20"/>
      <c r="I48" s="20"/>
      <c r="K48" s="22" t="str">
        <f t="shared" si="1"/>
        <v>https://script.google.com/macros/s/AKfycbxnfgFhqTPV70hE9affz6QCq0KJoI5Zkph5cqR3ULoIUApVecALJ_6HZMzohF-GXvUB/exec?id=</v>
      </c>
      <c r="L48" s="20" t="str">
        <f t="shared" si="2"/>
        <v/>
      </c>
      <c r="M48" s="23"/>
    </row>
    <row r="49">
      <c r="A49" s="20"/>
      <c r="B49" s="20"/>
      <c r="C49" s="20"/>
      <c r="D49" s="20"/>
      <c r="E49" s="20"/>
      <c r="F49" s="20"/>
      <c r="G49" s="20"/>
      <c r="H49" s="20"/>
      <c r="I49" s="20"/>
      <c r="K49" s="22" t="str">
        <f t="shared" si="1"/>
        <v>https://script.google.com/macros/s/AKfycbxnfgFhqTPV70hE9affz6QCq0KJoI5Zkph5cqR3ULoIUApVecALJ_6HZMzohF-GXvUB/exec?id=</v>
      </c>
      <c r="L49" s="20" t="str">
        <f t="shared" si="2"/>
        <v/>
      </c>
      <c r="M49" s="23"/>
    </row>
    <row r="50">
      <c r="A50" s="20"/>
      <c r="B50" s="20"/>
      <c r="C50" s="20"/>
      <c r="D50" s="20"/>
      <c r="E50" s="20"/>
      <c r="F50" s="20"/>
      <c r="G50" s="20"/>
      <c r="H50" s="20"/>
      <c r="I50" s="20"/>
      <c r="K50" s="22" t="str">
        <f t="shared" si="1"/>
        <v>https://script.google.com/macros/s/AKfycbxnfgFhqTPV70hE9affz6QCq0KJoI5Zkph5cqR3ULoIUApVecALJ_6HZMzohF-GXvUB/exec?id=</v>
      </c>
      <c r="L50" s="20" t="str">
        <f t="shared" si="2"/>
        <v/>
      </c>
      <c r="M50" s="23"/>
    </row>
    <row r="51">
      <c r="A51" s="20"/>
      <c r="B51" s="20"/>
      <c r="C51" s="20"/>
      <c r="D51" s="20"/>
      <c r="E51" s="20"/>
      <c r="F51" s="20"/>
      <c r="G51" s="20"/>
      <c r="H51" s="20"/>
      <c r="I51" s="20"/>
      <c r="K51" s="22" t="str">
        <f t="shared" si="1"/>
        <v>https://script.google.com/macros/s/AKfycbxnfgFhqTPV70hE9affz6QCq0KJoI5Zkph5cqR3ULoIUApVecALJ_6HZMzohF-GXvUB/exec?id=</v>
      </c>
      <c r="L51" s="20" t="str">
        <f t="shared" si="2"/>
        <v/>
      </c>
      <c r="M51" s="23"/>
    </row>
    <row r="52">
      <c r="A52" s="20"/>
      <c r="B52" s="20"/>
      <c r="C52" s="20"/>
      <c r="D52" s="20"/>
      <c r="E52" s="20"/>
      <c r="F52" s="20"/>
      <c r="G52" s="20"/>
      <c r="H52" s="20"/>
      <c r="I52" s="20"/>
      <c r="K52" s="22" t="str">
        <f t="shared" si="1"/>
        <v>https://script.google.com/macros/s/AKfycbxnfgFhqTPV70hE9affz6QCq0KJoI5Zkph5cqR3ULoIUApVecALJ_6HZMzohF-GXvUB/exec?id=</v>
      </c>
      <c r="L52" s="20" t="str">
        <f t="shared" si="2"/>
        <v/>
      </c>
      <c r="M52" s="23"/>
    </row>
    <row r="53">
      <c r="A53" s="20"/>
      <c r="B53" s="20"/>
      <c r="C53" s="20"/>
      <c r="D53" s="20"/>
      <c r="E53" s="20"/>
      <c r="F53" s="20"/>
      <c r="G53" s="20"/>
      <c r="H53" s="20"/>
      <c r="I53" s="20"/>
      <c r="K53" s="22" t="str">
        <f t="shared" si="1"/>
        <v>https://script.google.com/macros/s/AKfycbxnfgFhqTPV70hE9affz6QCq0KJoI5Zkph5cqR3ULoIUApVecALJ_6HZMzohF-GXvUB/exec?id=</v>
      </c>
      <c r="L53" s="20" t="str">
        <f t="shared" si="2"/>
        <v/>
      </c>
      <c r="M53" s="23"/>
    </row>
    <row r="54">
      <c r="A54" s="20"/>
      <c r="B54" s="20"/>
      <c r="C54" s="20"/>
      <c r="D54" s="20"/>
      <c r="E54" s="20"/>
      <c r="F54" s="20"/>
      <c r="G54" s="20"/>
      <c r="H54" s="20"/>
      <c r="I54" s="20"/>
      <c r="K54" s="22" t="str">
        <f t="shared" si="1"/>
        <v>https://script.google.com/macros/s/AKfycbxnfgFhqTPV70hE9affz6QCq0KJoI5Zkph5cqR3ULoIUApVecALJ_6HZMzohF-GXvUB/exec?id=</v>
      </c>
      <c r="L54" s="20" t="str">
        <f t="shared" si="2"/>
        <v/>
      </c>
      <c r="M54" s="23"/>
    </row>
    <row r="55">
      <c r="A55" s="20"/>
      <c r="B55" s="20"/>
      <c r="C55" s="20"/>
      <c r="D55" s="20"/>
      <c r="E55" s="20"/>
      <c r="F55" s="20"/>
      <c r="G55" s="20"/>
      <c r="H55" s="20"/>
      <c r="I55" s="20"/>
      <c r="M55" s="23"/>
    </row>
    <row r="56">
      <c r="A56" s="20"/>
      <c r="B56" s="20"/>
      <c r="C56" s="20"/>
      <c r="D56" s="20"/>
      <c r="E56" s="20"/>
      <c r="F56" s="20"/>
      <c r="G56" s="20"/>
      <c r="H56" s="20"/>
      <c r="I56" s="20"/>
      <c r="M56" s="23"/>
    </row>
    <row r="57">
      <c r="A57" s="20"/>
      <c r="B57" s="20"/>
      <c r="C57" s="20"/>
      <c r="D57" s="20"/>
      <c r="E57" s="20"/>
      <c r="F57" s="20"/>
      <c r="G57" s="20"/>
      <c r="H57" s="20"/>
      <c r="I57" s="20"/>
      <c r="M57" s="23"/>
    </row>
    <row r="58">
      <c r="A58" s="20"/>
      <c r="B58" s="20"/>
      <c r="C58" s="20"/>
      <c r="D58" s="20"/>
      <c r="E58" s="20"/>
      <c r="F58" s="20"/>
      <c r="G58" s="20"/>
      <c r="H58" s="20"/>
      <c r="I58" s="20"/>
      <c r="M58" s="23"/>
    </row>
    <row r="59">
      <c r="A59" s="20"/>
      <c r="B59" s="20"/>
      <c r="C59" s="20"/>
      <c r="D59" s="20"/>
      <c r="E59" s="20"/>
      <c r="F59" s="20"/>
      <c r="G59" s="20"/>
      <c r="H59" s="20"/>
      <c r="I59" s="20"/>
      <c r="M59" s="23"/>
    </row>
    <row r="60">
      <c r="A60" s="20"/>
      <c r="B60" s="20"/>
      <c r="C60" s="20"/>
      <c r="D60" s="20"/>
      <c r="E60" s="20"/>
      <c r="F60" s="20"/>
      <c r="G60" s="20"/>
      <c r="H60" s="20"/>
      <c r="I60" s="20"/>
      <c r="M60" s="23"/>
    </row>
    <row r="61">
      <c r="A61" s="20"/>
      <c r="B61" s="20"/>
      <c r="C61" s="20"/>
      <c r="D61" s="20"/>
      <c r="E61" s="20"/>
      <c r="F61" s="20"/>
      <c r="G61" s="20"/>
      <c r="H61" s="20"/>
      <c r="I61" s="20"/>
      <c r="M61" s="23"/>
    </row>
    <row r="62">
      <c r="A62" s="20"/>
      <c r="B62" s="20"/>
      <c r="C62" s="20"/>
      <c r="D62" s="20"/>
      <c r="E62" s="20"/>
      <c r="F62" s="20"/>
      <c r="G62" s="20"/>
      <c r="H62" s="20"/>
      <c r="I62" s="20"/>
      <c r="M62" s="23"/>
    </row>
    <row r="63">
      <c r="A63" s="20"/>
      <c r="B63" s="20"/>
      <c r="C63" s="20"/>
      <c r="D63" s="20"/>
      <c r="E63" s="20"/>
      <c r="F63" s="20"/>
      <c r="G63" s="20"/>
      <c r="H63" s="20"/>
      <c r="I63" s="20"/>
      <c r="M63" s="23"/>
    </row>
    <row r="64">
      <c r="A64" s="20"/>
      <c r="B64" s="20"/>
      <c r="C64" s="20"/>
      <c r="D64" s="20"/>
      <c r="E64" s="20"/>
      <c r="F64" s="20"/>
      <c r="G64" s="20"/>
      <c r="H64" s="20"/>
      <c r="I64" s="20"/>
      <c r="M64" s="23"/>
    </row>
    <row r="65">
      <c r="A65" s="20"/>
      <c r="B65" s="20"/>
      <c r="C65" s="20"/>
      <c r="D65" s="20"/>
      <c r="E65" s="20"/>
      <c r="F65" s="20"/>
      <c r="G65" s="20"/>
      <c r="H65" s="20"/>
      <c r="I65" s="20"/>
      <c r="M65" s="23"/>
    </row>
    <row r="66">
      <c r="A66" s="20"/>
      <c r="B66" s="20"/>
      <c r="C66" s="20"/>
      <c r="D66" s="20"/>
      <c r="E66" s="20"/>
      <c r="F66" s="20"/>
      <c r="G66" s="20"/>
      <c r="H66" s="20"/>
      <c r="I66" s="20"/>
      <c r="M66" s="23"/>
    </row>
    <row r="67">
      <c r="A67" s="20"/>
      <c r="B67" s="20"/>
      <c r="C67" s="20"/>
      <c r="D67" s="20"/>
      <c r="E67" s="20"/>
      <c r="F67" s="20"/>
      <c r="G67" s="20"/>
      <c r="H67" s="20"/>
      <c r="I67" s="20"/>
      <c r="M67" s="23"/>
    </row>
    <row r="68">
      <c r="A68" s="20"/>
      <c r="B68" s="20"/>
      <c r="C68" s="20"/>
      <c r="D68" s="20"/>
      <c r="E68" s="20"/>
      <c r="F68" s="20"/>
      <c r="G68" s="20"/>
      <c r="H68" s="20"/>
      <c r="I68" s="20"/>
      <c r="M68" s="23"/>
    </row>
    <row r="69">
      <c r="A69" s="20"/>
      <c r="B69" s="20"/>
      <c r="C69" s="20"/>
      <c r="D69" s="20"/>
      <c r="E69" s="20"/>
      <c r="F69" s="20"/>
      <c r="G69" s="20"/>
      <c r="H69" s="20"/>
      <c r="I69" s="20"/>
      <c r="M69" s="23"/>
    </row>
    <row r="70">
      <c r="A70" s="20"/>
      <c r="B70" s="20"/>
      <c r="C70" s="20"/>
      <c r="D70" s="20"/>
      <c r="E70" s="20"/>
      <c r="F70" s="20"/>
      <c r="G70" s="20"/>
      <c r="H70" s="20"/>
      <c r="I70" s="20"/>
      <c r="M70" s="23"/>
    </row>
    <row r="71">
      <c r="A71" s="20"/>
      <c r="B71" s="20"/>
      <c r="C71" s="20"/>
      <c r="D71" s="20"/>
      <c r="E71" s="20"/>
      <c r="F71" s="20"/>
      <c r="G71" s="20"/>
      <c r="H71" s="20"/>
      <c r="I71" s="20"/>
      <c r="M71" s="23"/>
    </row>
    <row r="72">
      <c r="A72" s="20"/>
      <c r="B72" s="20"/>
      <c r="C72" s="20"/>
      <c r="D72" s="20"/>
      <c r="E72" s="20"/>
      <c r="F72" s="20"/>
      <c r="G72" s="20"/>
      <c r="H72" s="20"/>
      <c r="I72" s="20"/>
      <c r="M72" s="23"/>
    </row>
    <row r="73">
      <c r="A73" s="20"/>
      <c r="B73" s="20"/>
      <c r="C73" s="20"/>
      <c r="D73" s="20"/>
      <c r="E73" s="20"/>
      <c r="F73" s="20"/>
      <c r="G73" s="20"/>
      <c r="H73" s="20"/>
      <c r="I73" s="20"/>
      <c r="M73" s="23"/>
    </row>
    <row r="74">
      <c r="A74" s="20"/>
      <c r="B74" s="20"/>
      <c r="C74" s="20"/>
      <c r="D74" s="20"/>
      <c r="E74" s="20"/>
      <c r="F74" s="20"/>
      <c r="G74" s="20"/>
      <c r="H74" s="20"/>
      <c r="I74" s="20"/>
      <c r="M74" s="23"/>
    </row>
    <row r="75">
      <c r="A75" s="20"/>
      <c r="B75" s="20"/>
      <c r="C75" s="20"/>
      <c r="D75" s="20"/>
      <c r="E75" s="20"/>
      <c r="F75" s="20"/>
      <c r="G75" s="20"/>
      <c r="H75" s="20"/>
      <c r="I75" s="20"/>
      <c r="M75" s="23"/>
    </row>
    <row r="76">
      <c r="A76" s="20"/>
      <c r="B76" s="20"/>
      <c r="C76" s="20"/>
      <c r="D76" s="20"/>
      <c r="E76" s="20"/>
      <c r="F76" s="20"/>
      <c r="G76" s="20"/>
      <c r="H76" s="20"/>
      <c r="I76" s="20"/>
      <c r="M76" s="23"/>
    </row>
    <row r="77">
      <c r="A77" s="20"/>
      <c r="B77" s="20"/>
      <c r="C77" s="20"/>
      <c r="D77" s="20"/>
      <c r="E77" s="20"/>
      <c r="F77" s="20"/>
      <c r="G77" s="20"/>
      <c r="H77" s="20"/>
      <c r="I77" s="20"/>
      <c r="M77" s="23"/>
    </row>
    <row r="78">
      <c r="A78" s="20"/>
      <c r="B78" s="20"/>
      <c r="C78" s="20"/>
      <c r="D78" s="20"/>
      <c r="E78" s="20"/>
      <c r="F78" s="20"/>
      <c r="G78" s="20"/>
      <c r="H78" s="20"/>
      <c r="I78" s="20"/>
      <c r="M78" s="23"/>
    </row>
    <row r="79">
      <c r="A79" s="20"/>
      <c r="B79" s="20"/>
      <c r="C79" s="20"/>
      <c r="D79" s="20"/>
      <c r="E79" s="20"/>
      <c r="F79" s="20"/>
      <c r="G79" s="20"/>
      <c r="H79" s="20"/>
      <c r="I79" s="20"/>
      <c r="M79" s="23"/>
    </row>
    <row r="80">
      <c r="A80" s="20"/>
      <c r="B80" s="20"/>
      <c r="C80" s="20"/>
      <c r="D80" s="20"/>
      <c r="E80" s="20"/>
      <c r="F80" s="20"/>
      <c r="G80" s="20"/>
      <c r="H80" s="20"/>
      <c r="I80" s="20"/>
      <c r="M80" s="23"/>
    </row>
    <row r="81">
      <c r="A81" s="20"/>
      <c r="B81" s="20"/>
      <c r="C81" s="20"/>
      <c r="D81" s="20"/>
      <c r="E81" s="20"/>
      <c r="F81" s="20"/>
      <c r="G81" s="20"/>
      <c r="H81" s="20"/>
      <c r="I81" s="20"/>
      <c r="M81" s="23"/>
    </row>
    <row r="82">
      <c r="A82" s="20"/>
      <c r="B82" s="20"/>
      <c r="C82" s="20"/>
      <c r="D82" s="20"/>
      <c r="E82" s="20"/>
      <c r="F82" s="20"/>
      <c r="G82" s="20"/>
      <c r="H82" s="20"/>
      <c r="I82" s="20"/>
      <c r="M82" s="23"/>
    </row>
    <row r="83">
      <c r="A83" s="20"/>
      <c r="B83" s="20"/>
      <c r="C83" s="20"/>
      <c r="D83" s="20"/>
      <c r="E83" s="20"/>
      <c r="F83" s="20"/>
      <c r="G83" s="20"/>
      <c r="H83" s="20"/>
      <c r="I83" s="20"/>
      <c r="M83" s="23"/>
    </row>
    <row r="84">
      <c r="A84" s="20"/>
      <c r="B84" s="20"/>
      <c r="C84" s="20"/>
      <c r="D84" s="20"/>
      <c r="E84" s="20"/>
      <c r="F84" s="20"/>
      <c r="G84" s="20"/>
      <c r="H84" s="20"/>
      <c r="I84" s="20"/>
      <c r="M84" s="23"/>
    </row>
    <row r="85">
      <c r="A85" s="20"/>
      <c r="B85" s="20"/>
      <c r="C85" s="20"/>
      <c r="D85" s="20"/>
      <c r="E85" s="20"/>
      <c r="F85" s="20"/>
      <c r="G85" s="20"/>
      <c r="H85" s="20"/>
      <c r="I85" s="20"/>
      <c r="M85" s="23"/>
    </row>
    <row r="86">
      <c r="A86" s="20"/>
      <c r="B86" s="20"/>
      <c r="C86" s="20"/>
      <c r="D86" s="20"/>
      <c r="E86" s="20"/>
      <c r="F86" s="20"/>
      <c r="G86" s="20"/>
      <c r="H86" s="20"/>
      <c r="I86" s="20"/>
      <c r="M86" s="23"/>
    </row>
    <row r="87">
      <c r="A87" s="20"/>
      <c r="B87" s="20"/>
      <c r="C87" s="20"/>
      <c r="D87" s="20"/>
      <c r="E87" s="20"/>
      <c r="F87" s="20"/>
      <c r="G87" s="20"/>
      <c r="H87" s="20"/>
      <c r="I87" s="20"/>
      <c r="M87" s="23"/>
    </row>
    <row r="88">
      <c r="A88" s="20"/>
      <c r="B88" s="20"/>
      <c r="C88" s="20"/>
      <c r="D88" s="20"/>
      <c r="E88" s="20"/>
      <c r="F88" s="20"/>
      <c r="G88" s="20"/>
      <c r="H88" s="20"/>
      <c r="I88" s="20"/>
      <c r="M88" s="23"/>
    </row>
    <row r="89">
      <c r="A89" s="20"/>
      <c r="B89" s="20"/>
      <c r="C89" s="20"/>
      <c r="D89" s="20"/>
      <c r="E89" s="20"/>
      <c r="F89" s="20"/>
      <c r="G89" s="20"/>
      <c r="H89" s="20"/>
      <c r="I89" s="20"/>
      <c r="M89" s="23"/>
    </row>
    <row r="90">
      <c r="A90" s="20"/>
      <c r="B90" s="20"/>
      <c r="C90" s="20"/>
      <c r="D90" s="20"/>
      <c r="E90" s="20"/>
      <c r="F90" s="20"/>
      <c r="G90" s="20"/>
      <c r="H90" s="20"/>
      <c r="I90" s="20"/>
      <c r="M90" s="23"/>
    </row>
    <row r="91">
      <c r="A91" s="20"/>
      <c r="B91" s="20"/>
      <c r="C91" s="20"/>
      <c r="D91" s="20"/>
      <c r="E91" s="20"/>
      <c r="F91" s="20"/>
      <c r="G91" s="20"/>
      <c r="H91" s="20"/>
      <c r="I91" s="20"/>
      <c r="M91" s="23"/>
    </row>
    <row r="92">
      <c r="A92" s="20"/>
      <c r="B92" s="20"/>
      <c r="C92" s="20"/>
      <c r="D92" s="20"/>
      <c r="E92" s="20"/>
      <c r="F92" s="20"/>
      <c r="G92" s="20"/>
      <c r="H92" s="20"/>
      <c r="I92" s="20"/>
      <c r="M92" s="23"/>
    </row>
    <row r="93">
      <c r="A93" s="20"/>
      <c r="B93" s="20"/>
      <c r="C93" s="20"/>
      <c r="D93" s="20"/>
      <c r="E93" s="20"/>
      <c r="F93" s="20"/>
      <c r="G93" s="20"/>
      <c r="H93" s="20"/>
      <c r="I93" s="20"/>
      <c r="M93" s="23"/>
    </row>
    <row r="94">
      <c r="A94" s="20"/>
      <c r="B94" s="20"/>
      <c r="C94" s="20"/>
      <c r="D94" s="20"/>
      <c r="E94" s="20"/>
      <c r="F94" s="20"/>
      <c r="G94" s="20"/>
      <c r="H94" s="20"/>
      <c r="I94" s="20"/>
      <c r="M94" s="23"/>
    </row>
    <row r="95">
      <c r="A95" s="20"/>
      <c r="B95" s="20"/>
      <c r="C95" s="20"/>
      <c r="D95" s="20"/>
      <c r="E95" s="20"/>
      <c r="F95" s="20"/>
      <c r="G95" s="20"/>
      <c r="H95" s="20"/>
      <c r="I95" s="20"/>
      <c r="M95" s="23"/>
    </row>
    <row r="96">
      <c r="A96" s="20"/>
      <c r="B96" s="20"/>
      <c r="C96" s="20"/>
      <c r="D96" s="20"/>
      <c r="E96" s="20"/>
      <c r="F96" s="20"/>
      <c r="G96" s="20"/>
      <c r="H96" s="20"/>
      <c r="I96" s="20"/>
      <c r="M96" s="23"/>
    </row>
    <row r="97">
      <c r="A97" s="20"/>
      <c r="B97" s="20"/>
      <c r="C97" s="20"/>
      <c r="D97" s="20"/>
      <c r="E97" s="20"/>
      <c r="F97" s="20"/>
      <c r="G97" s="20"/>
      <c r="H97" s="20"/>
      <c r="I97" s="20"/>
      <c r="M97" s="23"/>
    </row>
    <row r="98">
      <c r="A98" s="20"/>
      <c r="B98" s="20"/>
      <c r="C98" s="20"/>
      <c r="D98" s="20"/>
      <c r="E98" s="20"/>
      <c r="F98" s="20"/>
      <c r="G98" s="20"/>
      <c r="H98" s="20"/>
      <c r="I98" s="20"/>
      <c r="M98" s="23"/>
    </row>
    <row r="99">
      <c r="A99" s="20"/>
      <c r="B99" s="20"/>
      <c r="C99" s="20"/>
      <c r="D99" s="20"/>
      <c r="E99" s="20"/>
      <c r="F99" s="20"/>
      <c r="G99" s="20"/>
      <c r="H99" s="20"/>
      <c r="I99" s="20"/>
      <c r="M99" s="23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M100" s="23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M101" s="23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M102" s="23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M103" s="23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M104" s="23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M105" s="23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M106" s="23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M107" s="23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M108" s="23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M109" s="23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M110" s="23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M111" s="23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M112" s="23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M113" s="23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M114" s="23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M115" s="23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M116" s="23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M117" s="23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M118" s="23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M119" s="23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M120" s="23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M121" s="23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M122" s="23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M123" s="23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M124" s="23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M125" s="23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M126" s="23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M127" s="23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M128" s="23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M129" s="23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M130" s="23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M131" s="23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M132" s="23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M133" s="23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M134" s="23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M135" s="23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M136" s="23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M137" s="23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M138" s="23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M139" s="23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M140" s="23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M141" s="23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M142" s="23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M143" s="23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M144" s="23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M145" s="23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M146" s="23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M147" s="23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M148" s="23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M149" s="23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M150" s="23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M151" s="23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M152" s="23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M153" s="23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M154" s="23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M155" s="23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M156" s="23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M157" s="23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M158" s="23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M159" s="23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M160" s="23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M161" s="23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M162" s="23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M163" s="23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M164" s="23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M165" s="23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M166" s="23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M167" s="23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M168" s="23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M169" s="23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M170" s="23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M171" s="23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M172" s="23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M173" s="23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M174" s="23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M175" s="23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M176" s="23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M177" s="23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M178" s="23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M179" s="23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M180" s="23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M181" s="23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M182" s="23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M183" s="23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M184" s="23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M185" s="23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M186" s="23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M187" s="23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M188" s="23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M189" s="23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M190" s="23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M191" s="23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M192" s="23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M193" s="23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M194" s="23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M195" s="23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M196" s="23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M197" s="23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M198" s="23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M199" s="23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M200" s="23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M201" s="23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M202" s="23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M203" s="23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M204" s="23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M205" s="23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M206" s="23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M207" s="23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M208" s="23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M209" s="23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M210" s="23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M211" s="23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M212" s="23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M213" s="23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M214" s="23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M215" s="23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M216" s="23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M217" s="23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M218" s="23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M219" s="23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M220" s="23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M221" s="23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M222" s="23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M223" s="23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M224" s="23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M225" s="23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M226" s="23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M227" s="23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M228" s="23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M229" s="23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M230" s="23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M231" s="23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M232" s="23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M233" s="23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M234" s="23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M235" s="23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M236" s="23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M237" s="23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M238" s="23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M239" s="23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M240" s="23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M241" s="23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M242" s="23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M243" s="23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M244" s="23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M245" s="23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M246" s="23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M247" s="23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M248" s="23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M249" s="23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M250" s="23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M251" s="23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M252" s="23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M253" s="23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M254" s="23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M255" s="23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M256" s="23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M257" s="23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M258" s="23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M259" s="23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M260" s="23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M261" s="23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M262" s="23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M263" s="23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M264" s="23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M265" s="23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M266" s="23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M267" s="23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M268" s="23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M269" s="23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M270" s="23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M271" s="23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M272" s="23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M273" s="23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M274" s="23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M275" s="23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M276" s="23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M277" s="23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M278" s="23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M279" s="23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M280" s="23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M281" s="23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M282" s="23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M283" s="23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M284" s="23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M285" s="23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M286" s="23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M287" s="23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M288" s="23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M289" s="23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M290" s="23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M291" s="23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M292" s="23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M293" s="23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M294" s="23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M295" s="23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M296" s="23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M297" s="23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M298" s="23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M299" s="23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M300" s="23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M301" s="23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M302" s="23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M303" s="23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M304" s="23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M305" s="23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M306" s="23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M307" s="23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M308" s="23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M309" s="23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M310" s="23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M311" s="23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M312" s="23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M313" s="23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M314" s="23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M315" s="23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M316" s="23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M317" s="23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M318" s="23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M319" s="23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M320" s="23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M321" s="23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M322" s="23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M323" s="23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M324" s="23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M325" s="23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M326" s="23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M327" s="23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M328" s="23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M329" s="23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M330" s="23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M331" s="23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M332" s="23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M333" s="23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M334" s="23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M335" s="23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M336" s="23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M337" s="23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M338" s="23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M339" s="23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M340" s="23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M341" s="23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M342" s="23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M343" s="23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M344" s="23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M345" s="23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M346" s="23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M347" s="23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M348" s="23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M349" s="23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M350" s="23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M351" s="23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M352" s="23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M353" s="23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M354" s="23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M355" s="23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M356" s="23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M357" s="23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M358" s="23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M359" s="23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M360" s="23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M361" s="23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M362" s="23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M363" s="23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M364" s="23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M365" s="23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M366" s="23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M367" s="23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M368" s="23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M369" s="23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M370" s="23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M371" s="23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M372" s="23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M373" s="23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M374" s="23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M375" s="23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M376" s="23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M377" s="23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M378" s="23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M379" s="23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M380" s="23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M381" s="23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M382" s="23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M383" s="23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M384" s="23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M385" s="23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M386" s="23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M387" s="23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M388" s="23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M389" s="23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M390" s="23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M391" s="23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M392" s="23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M393" s="23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M394" s="23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M395" s="23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M396" s="23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M397" s="23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M398" s="23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M399" s="23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M400" s="23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M401" s="23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M402" s="23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M403" s="23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M404" s="23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M405" s="23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M406" s="23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M407" s="23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M408" s="23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M409" s="23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M410" s="23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M411" s="23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M412" s="23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M413" s="23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M414" s="23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M415" s="23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M416" s="23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M417" s="23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M418" s="23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M419" s="23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M420" s="23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M421" s="23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M422" s="23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M423" s="23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M424" s="23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M425" s="23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M426" s="23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M427" s="23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M428" s="23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M429" s="23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M430" s="23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M431" s="23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M432" s="23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M433" s="23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M434" s="23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M435" s="23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M436" s="23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M437" s="23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M438" s="23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M439" s="23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M440" s="23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M441" s="23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M442" s="23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M443" s="23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M444" s="23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M445" s="23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M446" s="23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M447" s="23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M448" s="23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M449" s="23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M450" s="23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M451" s="23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M452" s="23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M453" s="23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M454" s="23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M455" s="23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M456" s="23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M457" s="23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M458" s="23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M459" s="23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M460" s="23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M461" s="23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M462" s="23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M463" s="23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M464" s="23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M465" s="23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M466" s="23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M467" s="23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M468" s="23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M469" s="23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M470" s="23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M471" s="23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M472" s="23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M473" s="23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M474" s="23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M475" s="23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M476" s="23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M477" s="23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M478" s="23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M479" s="23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M480" s="23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M481" s="23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M482" s="23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M483" s="23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M484" s="23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M485" s="23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M486" s="23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M487" s="23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M488" s="23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M489" s="23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M490" s="23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M491" s="23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M492" s="23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M493" s="23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M494" s="23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M495" s="23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M496" s="23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M497" s="23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M498" s="23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M499" s="23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M500" s="23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M501" s="23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M502" s="23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M503" s="23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M504" s="23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M505" s="23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M506" s="23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M507" s="23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M508" s="23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M509" s="23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M510" s="23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M511" s="23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M512" s="23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M513" s="23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M514" s="23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M515" s="23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M516" s="23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M517" s="23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M518" s="23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M519" s="23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M520" s="23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M521" s="23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M522" s="23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M523" s="23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M524" s="23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M525" s="23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M526" s="23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M527" s="23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M528" s="23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M529" s="23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M530" s="23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M531" s="23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M532" s="23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M533" s="23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M534" s="23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M535" s="23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M536" s="23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M537" s="23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M538" s="23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M539" s="23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M540" s="23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M541" s="23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M542" s="23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M543" s="23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M544" s="23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M545" s="23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M546" s="23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M547" s="23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M548" s="23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M549" s="23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M550" s="23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M551" s="23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M552" s="23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M553" s="23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M554" s="23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M555" s="23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M556" s="23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M557" s="23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M558" s="23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M559" s="23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M560" s="23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M561" s="23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M562" s="23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M563" s="23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M564" s="23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M565" s="23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M566" s="23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M567" s="23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M568" s="23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M569" s="23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M570" s="23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M571" s="23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M572" s="23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M573" s="23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M574" s="23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M575" s="23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M576" s="23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M577" s="23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M578" s="23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M579" s="23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M580" s="23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M581" s="23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M582" s="23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M583" s="23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M584" s="23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M585" s="23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M586" s="23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M587" s="23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M588" s="23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M589" s="23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M590" s="23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M591" s="23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M592" s="23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M593" s="23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M594" s="23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M595" s="23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M596" s="23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M597" s="23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M598" s="23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M599" s="23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M600" s="23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M601" s="23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M602" s="23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M603" s="23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M604" s="23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M605" s="23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M606" s="23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M607" s="23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M608" s="23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M609" s="23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M610" s="23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M611" s="23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M612" s="23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M613" s="23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M614" s="23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M615" s="23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M616" s="23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M617" s="23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M618" s="23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M619" s="23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M620" s="23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M621" s="23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M622" s="23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M623" s="23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M624" s="23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M625" s="23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M626" s="23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M627" s="23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M628" s="23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M629" s="23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M630" s="23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M631" s="23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M632" s="23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M633" s="23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M634" s="23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M635" s="23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M636" s="23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M637" s="23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M638" s="23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M639" s="23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M640" s="23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M641" s="23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M642" s="23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M643" s="23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M644" s="23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M645" s="23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M646" s="23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M647" s="23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M648" s="23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M649" s="23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M650" s="23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M651" s="23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M652" s="23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M653" s="23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M654" s="23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M655" s="23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M656" s="23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M657" s="23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M658" s="23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M659" s="23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M660" s="23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M661" s="23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M662" s="23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M663" s="23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M664" s="23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M665" s="23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M666" s="23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M667" s="23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M668" s="23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M669" s="23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M670" s="23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M671" s="23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M672" s="23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M673" s="23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M674" s="23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M675" s="23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M676" s="23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M677" s="23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M678" s="23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M679" s="23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M680" s="23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M681" s="23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M682" s="23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M683" s="23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M684" s="23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M685" s="23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M686" s="23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M687" s="23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M688" s="23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M689" s="23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M690" s="23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M691" s="23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M692" s="23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M693" s="23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M694" s="23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M695" s="23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M696" s="23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M697" s="23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M698" s="23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M699" s="23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M700" s="23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M701" s="23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M702" s="23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M703" s="23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M704" s="23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M705" s="23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M706" s="23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M707" s="23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M708" s="23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M709" s="23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M710" s="23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M711" s="23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M712" s="23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M713" s="23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M714" s="23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M715" s="23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M716" s="23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M717" s="23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M718" s="23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M719" s="23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M720" s="23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M721" s="23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M722" s="23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M723" s="23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M724" s="23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M725" s="23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M726" s="23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M727" s="23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M728" s="23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M729" s="23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M730" s="23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M731" s="23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M732" s="23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M733" s="23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M734" s="23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M735" s="23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M736" s="23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M737" s="23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M738" s="23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M739" s="23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M740" s="23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M741" s="23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M742" s="23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M743" s="23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M744" s="23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M745" s="23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M746" s="23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M747" s="23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M748" s="23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M749" s="23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M750" s="23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M751" s="23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M752" s="23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M753" s="23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M754" s="23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M755" s="23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M756" s="23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M757" s="23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M758" s="23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M759" s="23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M760" s="23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M761" s="23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M762" s="23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M763" s="23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M764" s="23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M765" s="23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M766" s="23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M767" s="23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M768" s="23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M769" s="23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M770" s="23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M771" s="23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M772" s="23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M773" s="23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M774" s="23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M775" s="23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M776" s="23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M777" s="23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M778" s="23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M779" s="23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M780" s="23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M781" s="23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M782" s="23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M783" s="23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M784" s="23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M785" s="23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M786" s="23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M787" s="23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M788" s="23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M789" s="23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M790" s="23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M791" s="23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M792" s="23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M793" s="23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M794" s="23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M795" s="23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M796" s="23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M797" s="23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M798" s="23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M799" s="23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M800" s="23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M801" s="23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M802" s="23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M803" s="23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M804" s="23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M805" s="23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M806" s="23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M807" s="23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M808" s="23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M809" s="23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M810" s="23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M811" s="23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M812" s="23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M813" s="23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M814" s="23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M815" s="23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M816" s="23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M817" s="23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M818" s="23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M819" s="23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M820" s="23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M821" s="23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M822" s="23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M823" s="23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M824" s="23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M825" s="23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M826" s="23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M827" s="23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M828" s="23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M829" s="23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M830" s="23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M831" s="23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M832" s="23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M833" s="23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M834" s="23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M835" s="23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M836" s="23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M837" s="23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M838" s="23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M839" s="23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M840" s="23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M841" s="23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M842" s="23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M843" s="23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M844" s="23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M845" s="23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M846" s="23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M847" s="23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M848" s="23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M849" s="23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M850" s="23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M851" s="23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M852" s="23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M853" s="23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M854" s="23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M855" s="23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M856" s="23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M857" s="23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M858" s="23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M859" s="23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M860" s="23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M861" s="23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M862" s="23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M863" s="23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M864" s="23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M865" s="23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M866" s="23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M867" s="23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M868" s="23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M869" s="23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M870" s="23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M871" s="23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M872" s="23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M873" s="23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M874" s="23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M875" s="23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M876" s="23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M877" s="23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M878" s="23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M879" s="23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M880" s="23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M881" s="23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M882" s="23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M883" s="23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M884" s="23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M885" s="23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M886" s="23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M887" s="23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M888" s="23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M889" s="23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M890" s="23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M891" s="23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M892" s="23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M893" s="23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M894" s="23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M895" s="23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M896" s="23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M897" s="23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M898" s="23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M899" s="23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M900" s="23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M901" s="23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M902" s="23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M903" s="23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M904" s="23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M905" s="23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M906" s="23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M907" s="23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M908" s="23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M909" s="23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M910" s="23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M911" s="23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M912" s="23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M913" s="23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M914" s="23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M915" s="23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M916" s="23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M917" s="23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M918" s="23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M919" s="23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M920" s="23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M921" s="23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M922" s="23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M923" s="23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M924" s="23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M925" s="23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M926" s="23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M927" s="23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M928" s="23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M929" s="23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M930" s="23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M931" s="23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M932" s="23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M933" s="23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M934" s="23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M935" s="23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M936" s="23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M937" s="23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M938" s="23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M939" s="23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M940" s="23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M941" s="23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M942" s="23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M943" s="23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M944" s="23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M945" s="23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M946" s="23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M947" s="23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M948" s="23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M949" s="23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M950" s="23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M951" s="23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M952" s="23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M953" s="23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M954" s="23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M955" s="23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M956" s="23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M957" s="23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M958" s="23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M959" s="23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M960" s="23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M961" s="23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M962" s="23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M963" s="23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M964" s="23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M965" s="23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M966" s="23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M967" s="23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M968" s="23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M969" s="23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M970" s="23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M971" s="23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M972" s="23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M973" s="23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M974" s="23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M975" s="23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M976" s="23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M977" s="23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M978" s="23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M979" s="23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M980" s="23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M981" s="23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M982" s="23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M983" s="23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M984" s="23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M985" s="23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M986" s="23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M987" s="23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M988" s="23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M989" s="23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M990" s="23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M991" s="23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M992" s="23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M993" s="23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M994" s="23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M995" s="23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M996" s="23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M997" s="23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M998" s="23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M999" s="23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M1000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8.13"/>
    <col customWidth="1" min="3" max="3" width="6.63"/>
    <col customWidth="1" min="4" max="4" width="10.13"/>
    <col customWidth="1" min="5" max="5" width="6.38"/>
    <col customWidth="1" min="6" max="6" width="7.5"/>
    <col customWidth="1" min="7" max="7" width="8.25"/>
    <col customWidth="1" min="8" max="8" width="10.13"/>
    <col customWidth="1" min="9" max="9" width="17.63"/>
    <col customWidth="1" hidden="1" min="10" max="10" width="25.75"/>
    <col customWidth="1" min="11" max="11" width="50.88"/>
    <col customWidth="1" min="12" max="12" width="38.88"/>
    <col customWidth="1" min="15" max="15" width="14.0"/>
  </cols>
  <sheetData>
    <row r="1">
      <c r="A1" s="2" t="s">
        <v>1</v>
      </c>
      <c r="B1" s="4" t="s">
        <v>3</v>
      </c>
      <c r="C1" s="7" t="s">
        <v>5</v>
      </c>
      <c r="D1" s="2" t="s">
        <v>9</v>
      </c>
      <c r="E1" s="2" t="s">
        <v>2</v>
      </c>
      <c r="F1" s="2" t="s">
        <v>4</v>
      </c>
      <c r="G1" s="2" t="s">
        <v>6</v>
      </c>
      <c r="H1" s="2" t="s">
        <v>8</v>
      </c>
      <c r="I1" s="2" t="s">
        <v>15</v>
      </c>
      <c r="J1" s="2" t="s">
        <v>17</v>
      </c>
      <c r="K1" s="2" t="s">
        <v>19</v>
      </c>
      <c r="L1" s="2" t="s">
        <v>21</v>
      </c>
      <c r="M1" s="10" t="s">
        <v>23</v>
      </c>
      <c r="N1" s="2" t="s">
        <v>24</v>
      </c>
      <c r="O1" s="10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16" t="s">
        <v>30</v>
      </c>
      <c r="B2" s="17" t="s">
        <v>32</v>
      </c>
      <c r="C2" s="2" t="str">
        <f>IFERROR(__xludf.DUMMYFUNCTION("IF(A2="""", """", INDEX(SPLIT(A2, ""/""), 1, 2))"),"U1")</f>
        <v>U1</v>
      </c>
      <c r="D2" s="2" t="str">
        <f>IFERROR(__xludf.DUMMYFUNCTION("IF(A2="""", """", INDEX(SPLIT(A2, ""/""), 1, 3))"),"ET24DE17")</f>
        <v>ET24DE17</v>
      </c>
      <c r="E2" s="21">
        <f>IFERROR(__xludf.DUMMYFUNCTION("IF(A2="""", """", INDEX(SPLIT(A2, ""/""), 1, 4))"),4.0)</f>
        <v>4</v>
      </c>
      <c r="F2" s="21">
        <f>IFERROR(__xludf.DUMMYFUNCTION("IF(A2="""", """", INDEX(SPLIT(A2, ""/""), 1, 5))"),2.0)</f>
        <v>2</v>
      </c>
      <c r="G2" s="2" t="str">
        <f>IFERROR(__xludf.DUMMYFUNCTION("IF(A2="""", """", INDEX(SPLIT(A2, ""/""), 1, 6))"),"Mañana")</f>
        <v>Mañana</v>
      </c>
      <c r="H2" s="2" t="str">
        <f>IFERROR(__xludf.DUMMYFUNCTION("IF(A2="""", """", INDEX(SPLIT(A2, ""/""), 1, 7))"),"GADO")</f>
        <v>GADO</v>
      </c>
      <c r="I2" s="2" t="str">
        <f>IFERROR(__xludf.DUMMYFUNCTION("IF(A2="""", """", INDEX(SPLIT(A2, ""/""), 1, 8))"),"LLENOLIO, Claudio")</f>
        <v>LLENOLIO, Claudio</v>
      </c>
      <c r="J2" s="2"/>
      <c r="K2" s="8" t="s">
        <v>44</v>
      </c>
      <c r="L2" s="8" t="s">
        <v>47</v>
      </c>
      <c r="M2" s="8" t="s">
        <v>45</v>
      </c>
      <c r="P2" s="8" t="s">
        <v>11</v>
      </c>
    </row>
    <row r="3">
      <c r="A3" s="16" t="s">
        <v>30</v>
      </c>
      <c r="B3" s="17" t="s">
        <v>32</v>
      </c>
      <c r="C3" s="2" t="str">
        <f>IFERROR(__xludf.DUMMYFUNCTION("IF(A3="""", """", INDEX(SPLIT(A3, ""/""), 1, 2))"),"U1")</f>
        <v>U1</v>
      </c>
      <c r="D3" s="2" t="str">
        <f>IFERROR(__xludf.DUMMYFUNCTION("IF(A3="""", """", INDEX(SPLIT(A3, ""/""), 1, 3))"),"ET24DE17")</f>
        <v>ET24DE17</v>
      </c>
      <c r="E3" s="21">
        <f>IFERROR(__xludf.DUMMYFUNCTION("IF(A3="""", """", INDEX(SPLIT(A3, ""/""), 1, 4))"),4.0)</f>
        <v>4</v>
      </c>
      <c r="F3" s="21">
        <f>IFERROR(__xludf.DUMMYFUNCTION("IF(A3="""", """", INDEX(SPLIT(A3, ""/""), 1, 5))"),2.0)</f>
        <v>2</v>
      </c>
      <c r="G3" s="2" t="str">
        <f>IFERROR(__xludf.DUMMYFUNCTION("IF(A3="""", """", INDEX(SPLIT(A3, ""/""), 1, 6))"),"Mañana")</f>
        <v>Mañana</v>
      </c>
      <c r="H3" s="2" t="str">
        <f>IFERROR(__xludf.DUMMYFUNCTION("IF(A3="""", """", INDEX(SPLIT(A3, ""/""), 1, 7))"),"GADO")</f>
        <v>GADO</v>
      </c>
      <c r="I3" s="2" t="str">
        <f>IFERROR(__xludf.DUMMYFUNCTION("IF(A3="""", """", INDEX(SPLIT(A3, ""/""), 1, 8))"),"LLENOLIO, Claudio")</f>
        <v>LLENOLIO, Claudio</v>
      </c>
      <c r="J3" s="2"/>
      <c r="K3" s="8" t="s">
        <v>55</v>
      </c>
      <c r="L3" s="8" t="s">
        <v>56</v>
      </c>
      <c r="M3" s="8" t="s">
        <v>57</v>
      </c>
      <c r="P3" s="8" t="s">
        <v>11</v>
      </c>
    </row>
    <row r="4">
      <c r="A4" s="16" t="s">
        <v>30</v>
      </c>
      <c r="B4" s="17" t="s">
        <v>32</v>
      </c>
      <c r="C4" s="2" t="str">
        <f>IFERROR(__xludf.DUMMYFUNCTION("IF(A4="""", """", INDEX(SPLIT(A4, ""/""), 1, 2))"),"U1")</f>
        <v>U1</v>
      </c>
      <c r="D4" s="2" t="str">
        <f>IFERROR(__xludf.DUMMYFUNCTION("IF(A4="""", """", INDEX(SPLIT(A4, ""/""), 1, 3))"),"ET24DE17")</f>
        <v>ET24DE17</v>
      </c>
      <c r="E4" s="21">
        <f>IFERROR(__xludf.DUMMYFUNCTION("IF(A4="""", """", INDEX(SPLIT(A4, ""/""), 1, 4))"),4.0)</f>
        <v>4</v>
      </c>
      <c r="F4" s="21">
        <f>IFERROR(__xludf.DUMMYFUNCTION("IF(A4="""", """", INDEX(SPLIT(A4, ""/""), 1, 5))"),2.0)</f>
        <v>2</v>
      </c>
      <c r="G4" s="2" t="str">
        <f>IFERROR(__xludf.DUMMYFUNCTION("IF(A4="""", """", INDEX(SPLIT(A4, ""/""), 1, 6))"),"Mañana")</f>
        <v>Mañana</v>
      </c>
      <c r="H4" s="2" t="str">
        <f>IFERROR(__xludf.DUMMYFUNCTION("IF(A4="""", """", INDEX(SPLIT(A4, ""/""), 1, 7))"),"GADO")</f>
        <v>GADO</v>
      </c>
      <c r="I4" s="2" t="str">
        <f>IFERROR(__xludf.DUMMYFUNCTION("IF(A4="""", """", INDEX(SPLIT(A4, ""/""), 1, 8))"),"LLENOLIO, Claudio")</f>
        <v>LLENOLIO, Claudio</v>
      </c>
      <c r="J4" s="2"/>
      <c r="K4" s="8" t="s">
        <v>73</v>
      </c>
      <c r="L4" s="8" t="s">
        <v>74</v>
      </c>
      <c r="M4" s="8" t="s">
        <v>50</v>
      </c>
      <c r="P4" s="8" t="s">
        <v>11</v>
      </c>
    </row>
    <row r="5">
      <c r="A5" s="16" t="s">
        <v>30</v>
      </c>
      <c r="B5" s="17" t="s">
        <v>32</v>
      </c>
      <c r="C5" s="2" t="str">
        <f>IFERROR(__xludf.DUMMYFUNCTION("IF(A5="""", """", INDEX(SPLIT(A5, ""/""), 1, 2))"),"U1")</f>
        <v>U1</v>
      </c>
      <c r="D5" s="2" t="str">
        <f>IFERROR(__xludf.DUMMYFUNCTION("IF(A5="""", """", INDEX(SPLIT(A5, ""/""), 1, 3))"),"ET24DE17")</f>
        <v>ET24DE17</v>
      </c>
      <c r="E5" s="21">
        <f>IFERROR(__xludf.DUMMYFUNCTION("IF(A5="""", """", INDEX(SPLIT(A5, ""/""), 1, 4))"),4.0)</f>
        <v>4</v>
      </c>
      <c r="F5" s="21">
        <f>IFERROR(__xludf.DUMMYFUNCTION("IF(A5="""", """", INDEX(SPLIT(A5, ""/""), 1, 5))"),2.0)</f>
        <v>2</v>
      </c>
      <c r="G5" s="2" t="str">
        <f>IFERROR(__xludf.DUMMYFUNCTION("IF(A5="""", """", INDEX(SPLIT(A5, ""/""), 1, 6))"),"Mañana")</f>
        <v>Mañana</v>
      </c>
      <c r="H5" s="2" t="str">
        <f>IFERROR(__xludf.DUMMYFUNCTION("IF(A5="""", """", INDEX(SPLIT(A5, ""/""), 1, 7))"),"GADO")</f>
        <v>GADO</v>
      </c>
      <c r="I5" s="2" t="str">
        <f>IFERROR(__xludf.DUMMYFUNCTION("IF(A5="""", """", INDEX(SPLIT(A5, ""/""), 1, 8))"),"LLENOLIO, Claudio")</f>
        <v>LLENOLIO, Claudio</v>
      </c>
      <c r="J5" s="2"/>
      <c r="K5" s="8" t="s">
        <v>90</v>
      </c>
      <c r="L5" s="8" t="s">
        <v>91</v>
      </c>
      <c r="M5" s="8" t="s">
        <v>92</v>
      </c>
      <c r="P5" s="8" t="s">
        <v>11</v>
      </c>
    </row>
    <row r="6">
      <c r="A6" s="16" t="s">
        <v>30</v>
      </c>
      <c r="B6" s="17" t="s">
        <v>32</v>
      </c>
      <c r="C6" s="2" t="str">
        <f>IFERROR(__xludf.DUMMYFUNCTION("IF(A6="""", """", INDEX(SPLIT(A6, ""/""), 1, 2))"),"U1")</f>
        <v>U1</v>
      </c>
      <c r="D6" s="2" t="str">
        <f>IFERROR(__xludf.DUMMYFUNCTION("IF(A6="""", """", INDEX(SPLIT(A6, ""/""), 1, 3))"),"ET24DE17")</f>
        <v>ET24DE17</v>
      </c>
      <c r="E6" s="21">
        <f>IFERROR(__xludf.DUMMYFUNCTION("IF(A6="""", """", INDEX(SPLIT(A6, ""/""), 1, 4))"),4.0)</f>
        <v>4</v>
      </c>
      <c r="F6" s="21">
        <f>IFERROR(__xludf.DUMMYFUNCTION("IF(A6="""", """", INDEX(SPLIT(A6, ""/""), 1, 5))"),2.0)</f>
        <v>2</v>
      </c>
      <c r="G6" s="2" t="str">
        <f>IFERROR(__xludf.DUMMYFUNCTION("IF(A6="""", """", INDEX(SPLIT(A6, ""/""), 1, 6))"),"Mañana")</f>
        <v>Mañana</v>
      </c>
      <c r="H6" s="2" t="str">
        <f>IFERROR(__xludf.DUMMYFUNCTION("IF(A6="""", """", INDEX(SPLIT(A6, ""/""), 1, 7))"),"GADO")</f>
        <v>GADO</v>
      </c>
      <c r="I6" s="2" t="str">
        <f>IFERROR(__xludf.DUMMYFUNCTION("IF(A6="""", """", INDEX(SPLIT(A6, ""/""), 1, 8))"),"LLENOLIO, Claudio")</f>
        <v>LLENOLIO, Claudio</v>
      </c>
      <c r="J6" s="2"/>
      <c r="K6" s="8" t="s">
        <v>102</v>
      </c>
      <c r="L6" s="8" t="s">
        <v>103</v>
      </c>
      <c r="M6" s="8" t="s">
        <v>43</v>
      </c>
      <c r="P6" s="8" t="s">
        <v>11</v>
      </c>
    </row>
    <row r="7">
      <c r="A7" s="16" t="s">
        <v>30</v>
      </c>
      <c r="B7" s="17" t="s">
        <v>32</v>
      </c>
      <c r="C7" s="2" t="str">
        <f>IFERROR(__xludf.DUMMYFUNCTION("IF(A7="""", """", INDEX(SPLIT(A7, ""/""), 1, 2))"),"U1")</f>
        <v>U1</v>
      </c>
      <c r="D7" s="2" t="str">
        <f>IFERROR(__xludf.DUMMYFUNCTION("IF(A7="""", """", INDEX(SPLIT(A7, ""/""), 1, 3))"),"ET24DE17")</f>
        <v>ET24DE17</v>
      </c>
      <c r="E7" s="21">
        <f>IFERROR(__xludf.DUMMYFUNCTION("IF(A7="""", """", INDEX(SPLIT(A7, ""/""), 1, 4))"),4.0)</f>
        <v>4</v>
      </c>
      <c r="F7" s="21">
        <f>IFERROR(__xludf.DUMMYFUNCTION("IF(A7="""", """", INDEX(SPLIT(A7, ""/""), 1, 5))"),2.0)</f>
        <v>2</v>
      </c>
      <c r="G7" s="2" t="str">
        <f>IFERROR(__xludf.DUMMYFUNCTION("IF(A7="""", """", INDEX(SPLIT(A7, ""/""), 1, 6))"),"Mañana")</f>
        <v>Mañana</v>
      </c>
      <c r="H7" s="2" t="str">
        <f>IFERROR(__xludf.DUMMYFUNCTION("IF(A7="""", """", INDEX(SPLIT(A7, ""/""), 1, 7))"),"GADO")</f>
        <v>GADO</v>
      </c>
      <c r="I7" s="2" t="str">
        <f>IFERROR(__xludf.DUMMYFUNCTION("IF(A7="""", """", INDEX(SPLIT(A7, ""/""), 1, 8))"),"LLENOLIO, Claudio")</f>
        <v>LLENOLIO, Claudio</v>
      </c>
      <c r="J7" s="2"/>
      <c r="K7" s="8" t="s">
        <v>113</v>
      </c>
      <c r="L7" s="8" t="s">
        <v>114</v>
      </c>
      <c r="M7" s="8" t="s">
        <v>116</v>
      </c>
      <c r="P7" s="8" t="s">
        <v>11</v>
      </c>
    </row>
    <row r="8">
      <c r="A8" s="16" t="s">
        <v>30</v>
      </c>
      <c r="B8" s="17" t="s">
        <v>32</v>
      </c>
      <c r="C8" s="2" t="str">
        <f>IFERROR(__xludf.DUMMYFUNCTION("IF(A8="""", """", INDEX(SPLIT(A8, ""/""), 1, 2))"),"U1")</f>
        <v>U1</v>
      </c>
      <c r="D8" s="2" t="str">
        <f>IFERROR(__xludf.DUMMYFUNCTION("IF(A8="""", """", INDEX(SPLIT(A8, ""/""), 1, 3))"),"ET24DE17")</f>
        <v>ET24DE17</v>
      </c>
      <c r="E8" s="21">
        <f>IFERROR(__xludf.DUMMYFUNCTION("IF(A8="""", """", INDEX(SPLIT(A8, ""/""), 1, 4))"),4.0)</f>
        <v>4</v>
      </c>
      <c r="F8" s="21">
        <f>IFERROR(__xludf.DUMMYFUNCTION("IF(A8="""", """", INDEX(SPLIT(A8, ""/""), 1, 5))"),2.0)</f>
        <v>2</v>
      </c>
      <c r="G8" s="2" t="str">
        <f>IFERROR(__xludf.DUMMYFUNCTION("IF(A8="""", """", INDEX(SPLIT(A8, ""/""), 1, 6))"),"Mañana")</f>
        <v>Mañana</v>
      </c>
      <c r="H8" s="2" t="str">
        <f>IFERROR(__xludf.DUMMYFUNCTION("IF(A8="""", """", INDEX(SPLIT(A8, ""/""), 1, 7))"),"GADO")</f>
        <v>GADO</v>
      </c>
      <c r="I8" s="2" t="str">
        <f>IFERROR(__xludf.DUMMYFUNCTION("IF(A8="""", """", INDEX(SPLIT(A8, ""/""), 1, 8))"),"LLENOLIO, Claudio")</f>
        <v>LLENOLIO, Claudio</v>
      </c>
      <c r="J8" s="2"/>
      <c r="K8" s="8" t="s">
        <v>122</v>
      </c>
      <c r="L8" s="8" t="s">
        <v>124</v>
      </c>
      <c r="M8" s="8" t="s">
        <v>89</v>
      </c>
      <c r="P8" s="8" t="s">
        <v>11</v>
      </c>
    </row>
    <row r="9">
      <c r="A9" s="16" t="s">
        <v>30</v>
      </c>
      <c r="B9" s="17" t="s">
        <v>32</v>
      </c>
      <c r="C9" s="2" t="str">
        <f>IFERROR(__xludf.DUMMYFUNCTION("IF(A9="""", """", INDEX(SPLIT(A9, ""/""), 1, 2))"),"U1")</f>
        <v>U1</v>
      </c>
      <c r="D9" s="2" t="str">
        <f>IFERROR(__xludf.DUMMYFUNCTION("IF(A9="""", """", INDEX(SPLIT(A9, ""/""), 1, 3))"),"ET24DE17")</f>
        <v>ET24DE17</v>
      </c>
      <c r="E9" s="25">
        <v>4.0</v>
      </c>
      <c r="F9" s="25">
        <v>2.0</v>
      </c>
      <c r="G9" s="2" t="str">
        <f>IFERROR(__xludf.DUMMYFUNCTION("IF(A9="""", """", INDEX(SPLIT(A9, ""/""), 1, 6))"),"Mañana")</f>
        <v>Mañana</v>
      </c>
      <c r="H9" s="2" t="str">
        <f>IFERROR(__xludf.DUMMYFUNCTION("IF(A9="""", """", INDEX(SPLIT(A9, ""/""), 1, 7))"),"GADO")</f>
        <v>GADO</v>
      </c>
      <c r="I9" s="2" t="str">
        <f>IFERROR(__xludf.DUMMYFUNCTION("IF(A9="""", """", INDEX(SPLIT(A9, ""/""), 1, 8))"),"LLENOLIO, Claudio")</f>
        <v>LLENOLIO, Claudio</v>
      </c>
      <c r="J9" s="2"/>
      <c r="K9" s="8" t="s">
        <v>130</v>
      </c>
      <c r="L9" s="8" t="s">
        <v>131</v>
      </c>
      <c r="M9" s="8" t="s">
        <v>94</v>
      </c>
      <c r="P9" s="8" t="s">
        <v>11</v>
      </c>
    </row>
    <row r="10">
      <c r="A10" s="16" t="s">
        <v>30</v>
      </c>
      <c r="B10" s="17" t="s">
        <v>133</v>
      </c>
      <c r="C10" s="2" t="str">
        <f>IFERROR(__xludf.DUMMYFUNCTION("IF(A10="""", """", INDEX(SPLIT(A10, ""/""), 1, 2))"),"U1")</f>
        <v>U1</v>
      </c>
      <c r="D10" s="2" t="str">
        <f>IFERROR(__xludf.DUMMYFUNCTION("IF(A10="""", """", INDEX(SPLIT(A10, ""/""), 1, 3))"),"ET24DE17")</f>
        <v>ET24DE17</v>
      </c>
      <c r="E10" s="25">
        <v>4.0</v>
      </c>
      <c r="F10" s="25">
        <v>2.0</v>
      </c>
      <c r="G10" s="2" t="str">
        <f>IFERROR(__xludf.DUMMYFUNCTION("IF(A10="""", """", INDEX(SPLIT(A10, ""/""), 1, 6))"),"Mañana")</f>
        <v>Mañana</v>
      </c>
      <c r="H10" s="2" t="str">
        <f>IFERROR(__xludf.DUMMYFUNCTION("IF(A10="""", """", INDEX(SPLIT(A10, ""/""), 1, 7))"),"GADO")</f>
        <v>GADO</v>
      </c>
      <c r="I10" s="2" t="str">
        <f>IFERROR(__xludf.DUMMYFUNCTION("IF(A10="""", """", INDEX(SPLIT(A10, ""/""), 1, 8))"),"LLENOLIO, Claudio")</f>
        <v>LLENOLIO, Claudio</v>
      </c>
      <c r="J10" s="2"/>
      <c r="K10" s="8" t="s">
        <v>137</v>
      </c>
      <c r="L10" s="8" t="s">
        <v>139</v>
      </c>
      <c r="M10" s="8" t="s">
        <v>140</v>
      </c>
      <c r="P10" s="8" t="s">
        <v>11</v>
      </c>
    </row>
    <row r="11">
      <c r="A11" s="16" t="s">
        <v>30</v>
      </c>
      <c r="B11" s="17" t="s">
        <v>133</v>
      </c>
      <c r="C11" s="2" t="str">
        <f>IFERROR(__xludf.DUMMYFUNCTION("IF(A11="""", """", INDEX(SPLIT(A11, ""/""), 1, 2))"),"U1")</f>
        <v>U1</v>
      </c>
      <c r="D11" s="2" t="str">
        <f>IFERROR(__xludf.DUMMYFUNCTION("IF(A11="""", """", INDEX(SPLIT(A11, ""/""), 1, 3))"),"ET24DE17")</f>
        <v>ET24DE17</v>
      </c>
      <c r="E11" s="25">
        <v>4.0</v>
      </c>
      <c r="F11" s="25">
        <v>2.0</v>
      </c>
      <c r="G11" s="2" t="str">
        <f>IFERROR(__xludf.DUMMYFUNCTION("IF(A11="""", """", INDEX(SPLIT(A11, ""/""), 1, 6))"),"Mañana")</f>
        <v>Mañana</v>
      </c>
      <c r="H11" s="2" t="str">
        <f>IFERROR(__xludf.DUMMYFUNCTION("IF(A11="""", """", INDEX(SPLIT(A11, ""/""), 1, 7))"),"GADO")</f>
        <v>GADO</v>
      </c>
      <c r="I11" s="2" t="str">
        <f>IFERROR(__xludf.DUMMYFUNCTION("IF(A11="""", """", INDEX(SPLIT(A11, ""/""), 1, 8))"),"LLENOLIO, Claudio")</f>
        <v>LLENOLIO, Claudio</v>
      </c>
      <c r="J11" s="2"/>
      <c r="K11" s="8" t="s">
        <v>144</v>
      </c>
      <c r="L11" s="8" t="s">
        <v>146</v>
      </c>
      <c r="M11" s="8" t="s">
        <v>147</v>
      </c>
      <c r="P11" s="8" t="s">
        <v>11</v>
      </c>
    </row>
    <row r="12">
      <c r="A12" s="16" t="s">
        <v>30</v>
      </c>
      <c r="B12" s="17" t="s">
        <v>133</v>
      </c>
      <c r="C12" s="2" t="str">
        <f>IFERROR(__xludf.DUMMYFUNCTION("IF(A12="""", """", INDEX(SPLIT(A12, ""/""), 1, 2))"),"U1")</f>
        <v>U1</v>
      </c>
      <c r="D12" s="2" t="str">
        <f>IFERROR(__xludf.DUMMYFUNCTION("IF(A12="""", """", INDEX(SPLIT(A12, ""/""), 1, 3))"),"ET24DE17")</f>
        <v>ET24DE17</v>
      </c>
      <c r="E12" s="25">
        <v>4.0</v>
      </c>
      <c r="F12" s="25">
        <v>2.0</v>
      </c>
      <c r="G12" s="2" t="str">
        <f>IFERROR(__xludf.DUMMYFUNCTION("IF(A12="""", """", INDEX(SPLIT(A12, ""/""), 1, 6))"),"Mañana")</f>
        <v>Mañana</v>
      </c>
      <c r="H12" s="2" t="str">
        <f>IFERROR(__xludf.DUMMYFUNCTION("IF(A12="""", """", INDEX(SPLIT(A12, ""/""), 1, 7))"),"GADO")</f>
        <v>GADO</v>
      </c>
      <c r="I12" s="2" t="str">
        <f>IFERROR(__xludf.DUMMYFUNCTION("IF(A12="""", """", INDEX(SPLIT(A12, ""/""), 1, 8))"),"LLENOLIO, Claudio")</f>
        <v>LLENOLIO, Claudio</v>
      </c>
      <c r="J12" s="2"/>
      <c r="K12" s="8" t="s">
        <v>151</v>
      </c>
      <c r="L12" s="8" t="s">
        <v>152</v>
      </c>
      <c r="M12" s="8" t="s">
        <v>153</v>
      </c>
      <c r="P12" s="8" t="s">
        <v>11</v>
      </c>
    </row>
    <row r="13">
      <c r="A13" s="16" t="s">
        <v>30</v>
      </c>
      <c r="B13" s="17" t="s">
        <v>133</v>
      </c>
      <c r="C13" s="2" t="str">
        <f>IFERROR(__xludf.DUMMYFUNCTION("IF(A13="""", """", INDEX(SPLIT(A13, ""/""), 1, 2))"),"U1")</f>
        <v>U1</v>
      </c>
      <c r="D13" s="2" t="str">
        <f>IFERROR(__xludf.DUMMYFUNCTION("IF(A13="""", """", INDEX(SPLIT(A13, ""/""), 1, 3))"),"ET24DE17")</f>
        <v>ET24DE17</v>
      </c>
      <c r="E13" s="25">
        <v>4.0</v>
      </c>
      <c r="F13" s="25">
        <v>2.0</v>
      </c>
      <c r="G13" s="2" t="str">
        <f>IFERROR(__xludf.DUMMYFUNCTION("IF(A13="""", """", INDEX(SPLIT(A13, ""/""), 1, 6))"),"Mañana")</f>
        <v>Mañana</v>
      </c>
      <c r="H13" s="2" t="str">
        <f>IFERROR(__xludf.DUMMYFUNCTION("IF(A13="""", """", INDEX(SPLIT(A13, ""/""), 1, 7))"),"GADO")</f>
        <v>GADO</v>
      </c>
      <c r="I13" s="2" t="str">
        <f>IFERROR(__xludf.DUMMYFUNCTION("IF(A13="""", """", INDEX(SPLIT(A13, ""/""), 1, 8))"),"LLENOLIO, Claudio")</f>
        <v>LLENOLIO, Claudio</v>
      </c>
      <c r="J13" s="2"/>
      <c r="K13" s="8" t="s">
        <v>157</v>
      </c>
      <c r="L13" s="8" t="s">
        <v>158</v>
      </c>
      <c r="M13" s="8" t="s">
        <v>159</v>
      </c>
      <c r="P13" s="8" t="s">
        <v>11</v>
      </c>
    </row>
    <row r="14">
      <c r="A14" s="16" t="s">
        <v>30</v>
      </c>
      <c r="B14" s="17" t="s">
        <v>133</v>
      </c>
      <c r="C14" s="2" t="str">
        <f>IFERROR(__xludf.DUMMYFUNCTION("IF(A14="""", """", INDEX(SPLIT(A14, ""/""), 1, 2))"),"U1")</f>
        <v>U1</v>
      </c>
      <c r="D14" s="2" t="str">
        <f>IFERROR(__xludf.DUMMYFUNCTION("IF(A14="""", """", INDEX(SPLIT(A14, ""/""), 1, 3))"),"ET24DE17")</f>
        <v>ET24DE17</v>
      </c>
      <c r="E14" s="25">
        <v>4.0</v>
      </c>
      <c r="F14" s="25">
        <v>2.0</v>
      </c>
      <c r="G14" s="2" t="str">
        <f>IFERROR(__xludf.DUMMYFUNCTION("IF(A14="""", """", INDEX(SPLIT(A14, ""/""), 1, 6))"),"Mañana")</f>
        <v>Mañana</v>
      </c>
      <c r="H14" s="2" t="str">
        <f>IFERROR(__xludf.DUMMYFUNCTION("IF(A14="""", """", INDEX(SPLIT(A14, ""/""), 1, 7))"),"GADO")</f>
        <v>GADO</v>
      </c>
      <c r="I14" s="2" t="str">
        <f>IFERROR(__xludf.DUMMYFUNCTION("IF(A14="""", """", INDEX(SPLIT(A14, ""/""), 1, 8))"),"LLENOLIO, Claudio")</f>
        <v>LLENOLIO, Claudio</v>
      </c>
      <c r="J14" s="2"/>
      <c r="K14" s="8" t="s">
        <v>163</v>
      </c>
      <c r="L14" s="8" t="s">
        <v>165</v>
      </c>
      <c r="M14" s="8" t="s">
        <v>166</v>
      </c>
      <c r="P14" s="8" t="s">
        <v>11</v>
      </c>
    </row>
    <row r="15">
      <c r="A15" s="16" t="s">
        <v>30</v>
      </c>
      <c r="B15" s="17" t="s">
        <v>133</v>
      </c>
      <c r="C15" s="2" t="str">
        <f>IFERROR(__xludf.DUMMYFUNCTION("IF(A15="""", """", INDEX(SPLIT(A15, ""/""), 1, 2))"),"U1")</f>
        <v>U1</v>
      </c>
      <c r="D15" s="2" t="str">
        <f>IFERROR(__xludf.DUMMYFUNCTION("IF(A15="""", """", INDEX(SPLIT(A15, ""/""), 1, 3))"),"ET24DE17")</f>
        <v>ET24DE17</v>
      </c>
      <c r="E15" s="25">
        <v>4.0</v>
      </c>
      <c r="F15" s="25">
        <v>2.0</v>
      </c>
      <c r="G15" s="2" t="str">
        <f>IFERROR(__xludf.DUMMYFUNCTION("IF(A15="""", """", INDEX(SPLIT(A15, ""/""), 1, 6))"),"Mañana")</f>
        <v>Mañana</v>
      </c>
      <c r="H15" s="2" t="str">
        <f>IFERROR(__xludf.DUMMYFUNCTION("IF(A15="""", """", INDEX(SPLIT(A15, ""/""), 1, 7))"),"GADO")</f>
        <v>GADO</v>
      </c>
      <c r="I15" s="2" t="str">
        <f>IFERROR(__xludf.DUMMYFUNCTION("IF(A15="""", """", INDEX(SPLIT(A15, ""/""), 1, 8))"),"LLENOLIO, Claudio")</f>
        <v>LLENOLIO, Claudio</v>
      </c>
      <c r="J15" s="2"/>
      <c r="K15" s="8" t="s">
        <v>168</v>
      </c>
      <c r="L15" s="8" t="s">
        <v>169</v>
      </c>
      <c r="M15" s="8" t="s">
        <v>170</v>
      </c>
      <c r="P15" s="8" t="s">
        <v>11</v>
      </c>
    </row>
    <row r="16">
      <c r="A16" s="16" t="s">
        <v>30</v>
      </c>
      <c r="B16" s="17" t="s">
        <v>133</v>
      </c>
      <c r="C16" s="2" t="str">
        <f>IFERROR(__xludf.DUMMYFUNCTION("IF(A16="""", """", INDEX(SPLIT(A16, ""/""), 1, 2))"),"U1")</f>
        <v>U1</v>
      </c>
      <c r="D16" s="2" t="str">
        <f>IFERROR(__xludf.DUMMYFUNCTION("IF(A16="""", """", INDEX(SPLIT(A16, ""/""), 1, 3))"),"ET24DE17")</f>
        <v>ET24DE17</v>
      </c>
      <c r="E16" s="25">
        <v>4.0</v>
      </c>
      <c r="F16" s="25">
        <v>2.0</v>
      </c>
      <c r="G16" s="2" t="str">
        <f>IFERROR(__xludf.DUMMYFUNCTION("IF(A16="""", """", INDEX(SPLIT(A16, ""/""), 1, 6))"),"Mañana")</f>
        <v>Mañana</v>
      </c>
      <c r="H16" s="2" t="str">
        <f>IFERROR(__xludf.DUMMYFUNCTION("IF(A16="""", """", INDEX(SPLIT(A16, ""/""), 1, 7))"),"GADO")</f>
        <v>GADO</v>
      </c>
      <c r="I16" s="2" t="str">
        <f>IFERROR(__xludf.DUMMYFUNCTION("IF(A16="""", """", INDEX(SPLIT(A16, ""/""), 1, 8))"),"LLENOLIO, Claudio")</f>
        <v>LLENOLIO, Claudio</v>
      </c>
      <c r="J16" s="2"/>
      <c r="K16" s="8" t="s">
        <v>172</v>
      </c>
      <c r="L16" s="8" t="s">
        <v>173</v>
      </c>
      <c r="M16" s="8" t="s">
        <v>174</v>
      </c>
      <c r="P16" s="8" t="s">
        <v>11</v>
      </c>
    </row>
    <row r="17">
      <c r="A17" s="16" t="s">
        <v>30</v>
      </c>
      <c r="B17" s="17" t="s">
        <v>133</v>
      </c>
      <c r="C17" s="2" t="str">
        <f>IFERROR(__xludf.DUMMYFUNCTION("IF(A17="""", """", INDEX(SPLIT(A17, ""/""), 1, 2))"),"U1")</f>
        <v>U1</v>
      </c>
      <c r="D17" s="2" t="str">
        <f>IFERROR(__xludf.DUMMYFUNCTION("IF(A17="""", """", INDEX(SPLIT(A17, ""/""), 1, 3))"),"ET24DE17")</f>
        <v>ET24DE17</v>
      </c>
      <c r="E17" s="25">
        <v>4.0</v>
      </c>
      <c r="F17" s="25">
        <v>2.0</v>
      </c>
      <c r="G17" s="2" t="str">
        <f>IFERROR(__xludf.DUMMYFUNCTION("IF(A17="""", """", INDEX(SPLIT(A17, ""/""), 1, 6))"),"Mañana")</f>
        <v>Mañana</v>
      </c>
      <c r="H17" s="2" t="str">
        <f>IFERROR(__xludf.DUMMYFUNCTION("IF(A17="""", """", INDEX(SPLIT(A17, ""/""), 1, 7))"),"GADO")</f>
        <v>GADO</v>
      </c>
      <c r="I17" s="2" t="str">
        <f>IFERROR(__xludf.DUMMYFUNCTION("IF(A17="""", """", INDEX(SPLIT(A17, ""/""), 1, 8))"),"LLENOLIO, Claudio")</f>
        <v>LLENOLIO, Claudio</v>
      </c>
      <c r="J17" s="2"/>
      <c r="K17" s="8" t="s">
        <v>175</v>
      </c>
      <c r="L17" s="8" t="s">
        <v>176</v>
      </c>
      <c r="M17" s="8" t="s">
        <v>177</v>
      </c>
      <c r="P17" s="8" t="s">
        <v>11</v>
      </c>
    </row>
    <row r="18">
      <c r="A18" s="16" t="s">
        <v>30</v>
      </c>
      <c r="B18" s="17" t="s">
        <v>178</v>
      </c>
      <c r="C18" s="2" t="str">
        <f>IFERROR(__xludf.DUMMYFUNCTION("IF(A18="""", """", INDEX(SPLIT(A18, ""/""), 1, 2))"),"U1")</f>
        <v>U1</v>
      </c>
      <c r="D18" s="2" t="str">
        <f>IFERROR(__xludf.DUMMYFUNCTION("IF(A18="""", """", INDEX(SPLIT(A18, ""/""), 1, 3))"),"ET24DE17")</f>
        <v>ET24DE17</v>
      </c>
      <c r="E18" s="25">
        <v>4.0</v>
      </c>
      <c r="F18" s="25">
        <v>2.0</v>
      </c>
      <c r="G18" s="2" t="str">
        <f>IFERROR(__xludf.DUMMYFUNCTION("IF(A18="""", """", INDEX(SPLIT(A18, ""/""), 1, 6))"),"Mañana")</f>
        <v>Mañana</v>
      </c>
      <c r="H18" s="2" t="str">
        <f>IFERROR(__xludf.DUMMYFUNCTION("IF(A18="""", """", INDEX(SPLIT(A18, ""/""), 1, 7))"),"GADO")</f>
        <v>GADO</v>
      </c>
      <c r="I18" s="2" t="str">
        <f>IFERROR(__xludf.DUMMYFUNCTION("IF(A18="""", """", INDEX(SPLIT(A18, ""/""), 1, 8))"),"LLENOLIO, Claudio")</f>
        <v>LLENOLIO, Claudio</v>
      </c>
      <c r="J18" s="2"/>
      <c r="K18" s="8" t="s">
        <v>179</v>
      </c>
      <c r="L18" s="8" t="s">
        <v>180</v>
      </c>
      <c r="M18" s="8" t="s">
        <v>181</v>
      </c>
      <c r="P18" s="8" t="s">
        <v>11</v>
      </c>
    </row>
    <row r="19">
      <c r="A19" s="16" t="s">
        <v>30</v>
      </c>
      <c r="B19" s="17" t="s">
        <v>178</v>
      </c>
      <c r="C19" s="2" t="str">
        <f>IFERROR(__xludf.DUMMYFUNCTION("IF(A19="""", """", INDEX(SPLIT(A19, ""/""), 1, 2))"),"U1")</f>
        <v>U1</v>
      </c>
      <c r="D19" s="2" t="str">
        <f>IFERROR(__xludf.DUMMYFUNCTION("IF(A19="""", """", INDEX(SPLIT(A19, ""/""), 1, 3))"),"ET24DE17")</f>
        <v>ET24DE17</v>
      </c>
      <c r="E19" s="25">
        <v>4.0</v>
      </c>
      <c r="F19" s="25">
        <v>2.0</v>
      </c>
      <c r="G19" s="2" t="str">
        <f>IFERROR(__xludf.DUMMYFUNCTION("IF(A19="""", """", INDEX(SPLIT(A19, ""/""), 1, 6))"),"Mañana")</f>
        <v>Mañana</v>
      </c>
      <c r="H19" s="2" t="str">
        <f>IFERROR(__xludf.DUMMYFUNCTION("IF(A19="""", """", INDEX(SPLIT(A19, ""/""), 1, 7))"),"GADO")</f>
        <v>GADO</v>
      </c>
      <c r="I19" s="2" t="str">
        <f>IFERROR(__xludf.DUMMYFUNCTION("IF(A19="""", """", INDEX(SPLIT(A19, ""/""), 1, 8))"),"LLENOLIO, Claudio")</f>
        <v>LLENOLIO, Claudio</v>
      </c>
      <c r="J19" s="2"/>
      <c r="K19" s="8" t="s">
        <v>183</v>
      </c>
      <c r="L19" s="8" t="s">
        <v>184</v>
      </c>
      <c r="M19" s="8" t="s">
        <v>185</v>
      </c>
      <c r="P19" s="8" t="s">
        <v>11</v>
      </c>
    </row>
    <row r="20">
      <c r="A20" s="16" t="s">
        <v>30</v>
      </c>
      <c r="B20" s="17" t="s">
        <v>178</v>
      </c>
      <c r="C20" s="2" t="str">
        <f>IFERROR(__xludf.DUMMYFUNCTION("IF(A20="""", """", INDEX(SPLIT(A20, ""/""), 1, 2))"),"U1")</f>
        <v>U1</v>
      </c>
      <c r="D20" s="2" t="str">
        <f>IFERROR(__xludf.DUMMYFUNCTION("IF(A20="""", """", INDEX(SPLIT(A20, ""/""), 1, 3))"),"ET24DE17")</f>
        <v>ET24DE17</v>
      </c>
      <c r="E20" s="25">
        <v>4.0</v>
      </c>
      <c r="F20" s="25">
        <v>2.0</v>
      </c>
      <c r="G20" s="2" t="str">
        <f>IFERROR(__xludf.DUMMYFUNCTION("IF(A20="""", """", INDEX(SPLIT(A20, ""/""), 1, 6))"),"Mañana")</f>
        <v>Mañana</v>
      </c>
      <c r="H20" s="2" t="str">
        <f>IFERROR(__xludf.DUMMYFUNCTION("IF(A20="""", """", INDEX(SPLIT(A20, ""/""), 1, 7))"),"GADO")</f>
        <v>GADO</v>
      </c>
      <c r="I20" s="2" t="str">
        <f>IFERROR(__xludf.DUMMYFUNCTION("IF(A20="""", """", INDEX(SPLIT(A20, ""/""), 1, 8))"),"LLENOLIO, Claudio")</f>
        <v>LLENOLIO, Claudio</v>
      </c>
      <c r="J20" s="2"/>
      <c r="K20" s="8" t="s">
        <v>186</v>
      </c>
      <c r="L20" s="8" t="s">
        <v>187</v>
      </c>
      <c r="M20" s="8" t="s">
        <v>188</v>
      </c>
      <c r="P20" s="8" t="s">
        <v>11</v>
      </c>
    </row>
    <row r="21">
      <c r="A21" s="16" t="s">
        <v>30</v>
      </c>
      <c r="B21" s="17" t="s">
        <v>178</v>
      </c>
      <c r="C21" s="2" t="str">
        <f>IFERROR(__xludf.DUMMYFUNCTION("IF(A21="""", """", INDEX(SPLIT(A21, ""/""), 1, 2))"),"U1")</f>
        <v>U1</v>
      </c>
      <c r="D21" s="2" t="str">
        <f>IFERROR(__xludf.DUMMYFUNCTION("IF(A21="""", """", INDEX(SPLIT(A21, ""/""), 1, 3))"),"ET24DE17")</f>
        <v>ET24DE17</v>
      </c>
      <c r="E21" s="25">
        <v>4.0</v>
      </c>
      <c r="F21" s="25">
        <v>2.0</v>
      </c>
      <c r="G21" s="2" t="str">
        <f>IFERROR(__xludf.DUMMYFUNCTION("IF(A21="""", """", INDEX(SPLIT(A21, ""/""), 1, 6))"),"Mañana")</f>
        <v>Mañana</v>
      </c>
      <c r="H21" s="2" t="str">
        <f>IFERROR(__xludf.DUMMYFUNCTION("IF(A21="""", """", INDEX(SPLIT(A21, ""/""), 1, 7))"),"GADO")</f>
        <v>GADO</v>
      </c>
      <c r="I21" s="2" t="str">
        <f>IFERROR(__xludf.DUMMYFUNCTION("IF(A21="""", """", INDEX(SPLIT(A21, ""/""), 1, 8))"),"LLENOLIO, Claudio")</f>
        <v>LLENOLIO, Claudio</v>
      </c>
      <c r="J21" s="2"/>
      <c r="K21" s="8" t="s">
        <v>189</v>
      </c>
      <c r="L21" s="8" t="s">
        <v>190</v>
      </c>
      <c r="M21" s="8" t="s">
        <v>191</v>
      </c>
      <c r="P21" s="8" t="s">
        <v>11</v>
      </c>
    </row>
    <row r="22">
      <c r="A22" s="16" t="s">
        <v>30</v>
      </c>
      <c r="B22" s="17" t="s">
        <v>178</v>
      </c>
      <c r="C22" s="2" t="str">
        <f>IFERROR(__xludf.DUMMYFUNCTION("IF(A22="""", """", INDEX(SPLIT(A22, ""/""), 1, 2))"),"U1")</f>
        <v>U1</v>
      </c>
      <c r="D22" s="2" t="str">
        <f>IFERROR(__xludf.DUMMYFUNCTION("IF(A22="""", """", INDEX(SPLIT(A22, ""/""), 1, 3))"),"ET24DE17")</f>
        <v>ET24DE17</v>
      </c>
      <c r="E22" s="25">
        <v>4.0</v>
      </c>
      <c r="F22" s="25">
        <v>2.0</v>
      </c>
      <c r="G22" s="2" t="str">
        <f>IFERROR(__xludf.DUMMYFUNCTION("IF(A22="""", """", INDEX(SPLIT(A22, ""/""), 1, 6))"),"Mañana")</f>
        <v>Mañana</v>
      </c>
      <c r="H22" s="2" t="str">
        <f>IFERROR(__xludf.DUMMYFUNCTION("IF(A22="""", """", INDEX(SPLIT(A22, ""/""), 1, 7))"),"GADO")</f>
        <v>GADO</v>
      </c>
      <c r="I22" s="2" t="str">
        <f>IFERROR(__xludf.DUMMYFUNCTION("IF(A22="""", """", INDEX(SPLIT(A22, ""/""), 1, 8))"),"LLENOLIO, Claudio")</f>
        <v>LLENOLIO, Claudio</v>
      </c>
      <c r="J22" s="2"/>
      <c r="K22" s="8" t="s">
        <v>192</v>
      </c>
      <c r="L22" s="8" t="s">
        <v>193</v>
      </c>
      <c r="M22" s="8" t="s">
        <v>194</v>
      </c>
      <c r="P22" s="8" t="s">
        <v>11</v>
      </c>
    </row>
    <row r="23">
      <c r="A23" s="16" t="s">
        <v>30</v>
      </c>
      <c r="B23" s="17" t="s">
        <v>178</v>
      </c>
      <c r="C23" s="2" t="str">
        <f>IFERROR(__xludf.DUMMYFUNCTION("IF(A23="""", """", INDEX(SPLIT(A23, ""/""), 1, 2))"),"U1")</f>
        <v>U1</v>
      </c>
      <c r="D23" s="2" t="str">
        <f>IFERROR(__xludf.DUMMYFUNCTION("IF(A23="""", """", INDEX(SPLIT(A23, ""/""), 1, 3))"),"ET24DE17")</f>
        <v>ET24DE17</v>
      </c>
      <c r="E23" s="25">
        <v>4.0</v>
      </c>
      <c r="F23" s="25">
        <v>2.0</v>
      </c>
      <c r="G23" s="2" t="str">
        <f>IFERROR(__xludf.DUMMYFUNCTION("IF(A23="""", """", INDEX(SPLIT(A23, ""/""), 1, 6))"),"Mañana")</f>
        <v>Mañana</v>
      </c>
      <c r="H23" s="2" t="str">
        <f>IFERROR(__xludf.DUMMYFUNCTION("IF(A23="""", """", INDEX(SPLIT(A23, ""/""), 1, 7))"),"GADO")</f>
        <v>GADO</v>
      </c>
      <c r="I23" s="2" t="str">
        <f>IFERROR(__xludf.DUMMYFUNCTION("IF(A23="""", """", INDEX(SPLIT(A23, ""/""), 1, 8))"),"LLENOLIO, Claudio")</f>
        <v>LLENOLIO, Claudio</v>
      </c>
      <c r="J23" s="2"/>
      <c r="K23" s="8" t="s">
        <v>195</v>
      </c>
      <c r="L23" s="8" t="s">
        <v>196</v>
      </c>
      <c r="M23" s="8" t="s">
        <v>197</v>
      </c>
      <c r="P23" s="8" t="s">
        <v>11</v>
      </c>
    </row>
    <row r="24">
      <c r="A24" s="16" t="s">
        <v>30</v>
      </c>
      <c r="B24" s="17" t="s">
        <v>178</v>
      </c>
      <c r="C24" s="2" t="str">
        <f>IFERROR(__xludf.DUMMYFUNCTION("IF(A24="""", """", INDEX(SPLIT(A24, ""/""), 1, 2))"),"U1")</f>
        <v>U1</v>
      </c>
      <c r="D24" s="2" t="str">
        <f>IFERROR(__xludf.DUMMYFUNCTION("IF(A24="""", """", INDEX(SPLIT(A24, ""/""), 1, 3))"),"ET24DE17")</f>
        <v>ET24DE17</v>
      </c>
      <c r="E24" s="25">
        <v>4.0</v>
      </c>
      <c r="F24" s="25">
        <v>2.0</v>
      </c>
      <c r="G24" s="2" t="str">
        <f>IFERROR(__xludf.DUMMYFUNCTION("IF(A24="""", """", INDEX(SPLIT(A24, ""/""), 1, 6))"),"Mañana")</f>
        <v>Mañana</v>
      </c>
      <c r="H24" s="2" t="str">
        <f>IFERROR(__xludf.DUMMYFUNCTION("IF(A24="""", """", INDEX(SPLIT(A24, ""/""), 1, 7))"),"GADO")</f>
        <v>GADO</v>
      </c>
      <c r="I24" s="2" t="str">
        <f>IFERROR(__xludf.DUMMYFUNCTION("IF(A24="""", """", INDEX(SPLIT(A24, ""/""), 1, 8))"),"LLENOLIO, Claudio")</f>
        <v>LLENOLIO, Claudio</v>
      </c>
      <c r="J24" s="2"/>
      <c r="K24" s="8" t="s">
        <v>198</v>
      </c>
      <c r="L24" s="8" t="s">
        <v>199</v>
      </c>
      <c r="M24" s="8" t="s">
        <v>200</v>
      </c>
      <c r="P24" s="8" t="s">
        <v>11</v>
      </c>
    </row>
    <row r="25">
      <c r="A25" s="16" t="s">
        <v>30</v>
      </c>
      <c r="B25" s="17" t="s">
        <v>178</v>
      </c>
      <c r="C25" s="2" t="str">
        <f>IFERROR(__xludf.DUMMYFUNCTION("IF(A25="""", """", INDEX(SPLIT(A25, ""/""), 1, 2))"),"U1")</f>
        <v>U1</v>
      </c>
      <c r="D25" s="2" t="str">
        <f>IFERROR(__xludf.DUMMYFUNCTION("IF(A25="""", """", INDEX(SPLIT(A25, ""/""), 1, 3))"),"ET24DE17")</f>
        <v>ET24DE17</v>
      </c>
      <c r="E25" s="25">
        <v>4.0</v>
      </c>
      <c r="F25" s="25">
        <v>2.0</v>
      </c>
      <c r="G25" s="2" t="str">
        <f>IFERROR(__xludf.DUMMYFUNCTION("IF(A25="""", """", INDEX(SPLIT(A25, ""/""), 1, 6))"),"Mañana")</f>
        <v>Mañana</v>
      </c>
      <c r="H25" s="2" t="str">
        <f>IFERROR(__xludf.DUMMYFUNCTION("IF(A25="""", """", INDEX(SPLIT(A25, ""/""), 1, 7))"),"GADO")</f>
        <v>GADO</v>
      </c>
      <c r="I25" s="2" t="str">
        <f>IFERROR(__xludf.DUMMYFUNCTION("IF(A25="""", """", INDEX(SPLIT(A25, ""/""), 1, 8))"),"LLENOLIO, Claudio")</f>
        <v>LLENOLIO, Claudio</v>
      </c>
      <c r="J25" s="2"/>
      <c r="K25" s="8" t="s">
        <v>201</v>
      </c>
      <c r="L25" s="8" t="s">
        <v>202</v>
      </c>
      <c r="M25" s="8" t="s">
        <v>203</v>
      </c>
      <c r="P25" s="8" t="s">
        <v>11</v>
      </c>
    </row>
    <row r="26">
      <c r="A26" s="16" t="s">
        <v>204</v>
      </c>
      <c r="B26" s="17"/>
      <c r="C26" s="2" t="str">
        <f>IFERROR(__xludf.DUMMYFUNCTION("IF(A26="""", """", INDEX(SPLIT(A26, ""/""), 1, 2))"),"U1")</f>
        <v>U1</v>
      </c>
      <c r="D26" s="2" t="str">
        <f>IFERROR(__xludf.DUMMYFUNCTION("IF(A26="""", """", INDEX(SPLIT(A26, ""/""), 1, 3))"),"ET24DE17")</f>
        <v>ET24DE17</v>
      </c>
      <c r="E26" s="25">
        <v>1.0</v>
      </c>
      <c r="F26" s="25">
        <v>1.0</v>
      </c>
      <c r="G26" s="2" t="str">
        <f>IFERROR(__xludf.DUMMYFUNCTION("IF(A26="""", """", INDEX(SPLIT(A26, ""/""), 1, 6))"),"Mañana")</f>
        <v>Mañana</v>
      </c>
      <c r="H26" s="2" t="str">
        <f>IFERROR(__xludf.DUMMYFUNCTION("IF(A26="""", """", INDEX(SPLIT(A26, ""/""), 1, 7))"),"GADO")</f>
        <v>GADO</v>
      </c>
      <c r="I26" s="2" t="str">
        <f>IFERROR(__xludf.DUMMYFUNCTION("IF(A26="""", """", INDEX(SPLIT(A26, ""/""), 1, 8))"),"LLENOLIO, Claudio")</f>
        <v>LLENOLIO, Claudio</v>
      </c>
      <c r="J26" s="2"/>
      <c r="K26" s="8" t="s">
        <v>205</v>
      </c>
      <c r="L26" s="8" t="s">
        <v>206</v>
      </c>
      <c r="M26" s="8" t="s">
        <v>51</v>
      </c>
      <c r="P26" s="8" t="s">
        <v>95</v>
      </c>
    </row>
    <row r="27">
      <c r="A27" s="16" t="s">
        <v>204</v>
      </c>
      <c r="B27" s="17"/>
      <c r="C27" s="2" t="str">
        <f>IFERROR(__xludf.DUMMYFUNCTION("IF(A27="""", """", INDEX(SPLIT(A27, ""/""), 1, 2))"),"U1")</f>
        <v>U1</v>
      </c>
      <c r="D27" s="2" t="str">
        <f>IFERROR(__xludf.DUMMYFUNCTION("IF(A27="""", """", INDEX(SPLIT(A27, ""/""), 1, 3))"),"ET24DE17")</f>
        <v>ET24DE17</v>
      </c>
      <c r="E27" s="25">
        <v>1.0</v>
      </c>
      <c r="F27" s="25">
        <v>1.0</v>
      </c>
      <c r="G27" s="2" t="str">
        <f>IFERROR(__xludf.DUMMYFUNCTION("IF(A27="""", """", INDEX(SPLIT(A27, ""/""), 1, 6))"),"Mañana")</f>
        <v>Mañana</v>
      </c>
      <c r="H27" s="2" t="str">
        <f>IFERROR(__xludf.DUMMYFUNCTION("IF(A27="""", """", INDEX(SPLIT(A27, ""/""), 1, 7))"),"GADO")</f>
        <v>GADO</v>
      </c>
      <c r="I27" s="2" t="str">
        <f>IFERROR(__xludf.DUMMYFUNCTION("IF(A27="""", """", INDEX(SPLIT(A27, ""/""), 1, 8))"),"LLENOLIO, Claudio")</f>
        <v>LLENOLIO, Claudio</v>
      </c>
      <c r="J27" s="2"/>
      <c r="K27" s="8" t="s">
        <v>208</v>
      </c>
      <c r="L27" s="8" t="s">
        <v>209</v>
      </c>
      <c r="M27" s="8" t="s">
        <v>53</v>
      </c>
      <c r="P27" s="8" t="s">
        <v>95</v>
      </c>
    </row>
    <row r="28">
      <c r="A28" s="16" t="s">
        <v>204</v>
      </c>
      <c r="B28" s="17"/>
      <c r="C28" s="2" t="str">
        <f>IFERROR(__xludf.DUMMYFUNCTION("IF(A28="""", """", INDEX(SPLIT(A28, ""/""), 1, 2))"),"U1")</f>
        <v>U1</v>
      </c>
      <c r="D28" s="2" t="str">
        <f>IFERROR(__xludf.DUMMYFUNCTION("IF(A28="""", """", INDEX(SPLIT(A28, ""/""), 1, 3))"),"ET24DE17")</f>
        <v>ET24DE17</v>
      </c>
      <c r="E28" s="25">
        <v>1.0</v>
      </c>
      <c r="F28" s="25">
        <v>1.0</v>
      </c>
      <c r="G28" s="2" t="str">
        <f>IFERROR(__xludf.DUMMYFUNCTION("IF(A28="""", """", INDEX(SPLIT(A28, ""/""), 1, 6))"),"Mañana")</f>
        <v>Mañana</v>
      </c>
      <c r="H28" s="2" t="str">
        <f>IFERROR(__xludf.DUMMYFUNCTION("IF(A28="""", """", INDEX(SPLIT(A28, ""/""), 1, 7))"),"GADO")</f>
        <v>GADO</v>
      </c>
      <c r="I28" s="2" t="str">
        <f>IFERROR(__xludf.DUMMYFUNCTION("IF(A28="""", """", INDEX(SPLIT(A28, ""/""), 1, 8))"),"LLENOLIO, Claudio")</f>
        <v>LLENOLIO, Claudio</v>
      </c>
      <c r="J28" s="2"/>
      <c r="K28" s="8" t="s">
        <v>210</v>
      </c>
      <c r="L28" s="8" t="s">
        <v>211</v>
      </c>
      <c r="M28" s="8" t="s">
        <v>52</v>
      </c>
      <c r="P28" s="8" t="s">
        <v>95</v>
      </c>
    </row>
    <row r="29">
      <c r="A29" s="16" t="s">
        <v>212</v>
      </c>
      <c r="B29" s="25">
        <v>6.0</v>
      </c>
      <c r="C29" s="16" t="s">
        <v>12</v>
      </c>
      <c r="D29" s="16" t="s">
        <v>13</v>
      </c>
      <c r="E29" s="25">
        <v>1.0</v>
      </c>
      <c r="F29" s="25">
        <v>1.0</v>
      </c>
      <c r="G29" s="16" t="s">
        <v>14</v>
      </c>
      <c r="H29" s="16" t="s">
        <v>96</v>
      </c>
      <c r="I29" s="16" t="s">
        <v>18</v>
      </c>
      <c r="J29" s="2"/>
      <c r="K29" s="16" t="s">
        <v>213</v>
      </c>
      <c r="L29" s="8" t="s">
        <v>214</v>
      </c>
      <c r="M29" s="16" t="s">
        <v>215</v>
      </c>
      <c r="N29" s="2"/>
      <c r="O29" s="2"/>
      <c r="P29" s="16" t="s">
        <v>95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16" t="s">
        <v>212</v>
      </c>
      <c r="B30" s="25">
        <v>6.0</v>
      </c>
      <c r="C30" s="16" t="s">
        <v>12</v>
      </c>
      <c r="D30" s="16" t="s">
        <v>13</v>
      </c>
      <c r="E30" s="25">
        <v>1.0</v>
      </c>
      <c r="F30" s="25">
        <v>1.0</v>
      </c>
      <c r="G30" s="16" t="s">
        <v>14</v>
      </c>
      <c r="H30" s="16" t="s">
        <v>96</v>
      </c>
      <c r="I30" s="16" t="s">
        <v>18</v>
      </c>
      <c r="J30" s="2"/>
      <c r="K30" s="16" t="s">
        <v>216</v>
      </c>
      <c r="L30" s="16" t="s">
        <v>217</v>
      </c>
      <c r="M30" s="16" t="s">
        <v>218</v>
      </c>
      <c r="N30" s="2"/>
      <c r="O30" s="2"/>
      <c r="P30" s="16" t="s">
        <v>95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16" t="s">
        <v>212</v>
      </c>
      <c r="B31" s="25">
        <v>6.0</v>
      </c>
      <c r="C31" s="16" t="s">
        <v>12</v>
      </c>
      <c r="D31" s="16" t="s">
        <v>13</v>
      </c>
      <c r="E31" s="25">
        <v>1.0</v>
      </c>
      <c r="F31" s="25">
        <v>1.0</v>
      </c>
      <c r="G31" s="16" t="s">
        <v>14</v>
      </c>
      <c r="H31" s="16" t="s">
        <v>96</v>
      </c>
      <c r="I31" s="16" t="s">
        <v>18</v>
      </c>
      <c r="J31" s="2"/>
      <c r="K31" s="16" t="s">
        <v>220</v>
      </c>
      <c r="L31" s="16" t="s">
        <v>221</v>
      </c>
      <c r="M31" s="16" t="s">
        <v>85</v>
      </c>
      <c r="N31" s="2"/>
      <c r="O31" s="10"/>
      <c r="P31" s="16" t="s">
        <v>95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16" t="s">
        <v>212</v>
      </c>
      <c r="B32" s="25">
        <v>6.0</v>
      </c>
      <c r="C32" s="16" t="s">
        <v>12</v>
      </c>
      <c r="D32" s="16" t="s">
        <v>13</v>
      </c>
      <c r="E32" s="25">
        <v>1.0</v>
      </c>
      <c r="F32" s="25">
        <v>1.0</v>
      </c>
      <c r="G32" s="16" t="s">
        <v>14</v>
      </c>
      <c r="H32" s="16" t="s">
        <v>96</v>
      </c>
      <c r="I32" s="16" t="s">
        <v>18</v>
      </c>
      <c r="J32" s="2"/>
      <c r="K32" s="16" t="s">
        <v>222</v>
      </c>
      <c r="L32" s="16" t="s">
        <v>223</v>
      </c>
      <c r="M32" s="16" t="s">
        <v>224</v>
      </c>
      <c r="N32" s="2"/>
      <c r="O32" s="10"/>
      <c r="P32" s="16" t="s">
        <v>95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16" t="s">
        <v>212</v>
      </c>
      <c r="B33" s="25">
        <v>6.0</v>
      </c>
      <c r="C33" s="16" t="s">
        <v>12</v>
      </c>
      <c r="D33" s="16" t="s">
        <v>13</v>
      </c>
      <c r="E33" s="25">
        <v>1.0</v>
      </c>
      <c r="F33" s="25">
        <v>1.0</v>
      </c>
      <c r="G33" s="16" t="s">
        <v>14</v>
      </c>
      <c r="H33" s="16" t="s">
        <v>96</v>
      </c>
      <c r="I33" s="16" t="s">
        <v>18</v>
      </c>
      <c r="J33" s="2"/>
      <c r="K33" s="26" t="s">
        <v>226</v>
      </c>
      <c r="L33" s="16" t="s">
        <v>227</v>
      </c>
      <c r="M33" s="16" t="s">
        <v>82</v>
      </c>
      <c r="N33" s="2"/>
      <c r="O33" s="10"/>
      <c r="P33" s="16" t="s">
        <v>95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16" t="s">
        <v>212</v>
      </c>
      <c r="B34" s="25">
        <v>6.0</v>
      </c>
      <c r="C34" s="16" t="s">
        <v>12</v>
      </c>
      <c r="D34" s="16" t="s">
        <v>13</v>
      </c>
      <c r="E34" s="25">
        <v>1.0</v>
      </c>
      <c r="F34" s="25">
        <v>1.0</v>
      </c>
      <c r="G34" s="16" t="s">
        <v>14</v>
      </c>
      <c r="H34" s="16" t="s">
        <v>96</v>
      </c>
      <c r="I34" s="16" t="s">
        <v>18</v>
      </c>
      <c r="J34" s="2"/>
      <c r="K34" s="16" t="s">
        <v>228</v>
      </c>
      <c r="L34" s="8" t="s">
        <v>229</v>
      </c>
      <c r="M34" s="16" t="s">
        <v>230</v>
      </c>
      <c r="N34" s="2"/>
      <c r="O34" s="10"/>
      <c r="P34" s="16" t="s">
        <v>95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16" t="s">
        <v>212</v>
      </c>
      <c r="B35" s="25">
        <v>6.0</v>
      </c>
      <c r="C35" s="16" t="s">
        <v>12</v>
      </c>
      <c r="D35" s="16" t="s">
        <v>13</v>
      </c>
      <c r="E35" s="25">
        <v>1.0</v>
      </c>
      <c r="F35" s="25">
        <v>1.0</v>
      </c>
      <c r="G35" s="16" t="s">
        <v>14</v>
      </c>
      <c r="H35" s="16" t="s">
        <v>96</v>
      </c>
      <c r="I35" s="16" t="s">
        <v>18</v>
      </c>
      <c r="J35" s="2"/>
      <c r="K35" s="16" t="s">
        <v>231</v>
      </c>
      <c r="L35" s="16" t="s">
        <v>232</v>
      </c>
      <c r="M35" s="16" t="s">
        <v>233</v>
      </c>
      <c r="N35" s="2"/>
      <c r="O35" s="10"/>
      <c r="P35" s="16" t="s">
        <v>95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16" t="s">
        <v>212</v>
      </c>
      <c r="B36" s="25">
        <v>6.0</v>
      </c>
      <c r="C36" s="16" t="s">
        <v>12</v>
      </c>
      <c r="D36" s="16" t="s">
        <v>13</v>
      </c>
      <c r="E36" s="25">
        <v>1.0</v>
      </c>
      <c r="F36" s="25">
        <v>1.0</v>
      </c>
      <c r="G36" s="16" t="s">
        <v>14</v>
      </c>
      <c r="H36" s="16" t="s">
        <v>96</v>
      </c>
      <c r="I36" s="16" t="s">
        <v>18</v>
      </c>
      <c r="J36" s="2"/>
      <c r="K36" s="16" t="s">
        <v>234</v>
      </c>
      <c r="L36" s="16" t="s">
        <v>235</v>
      </c>
      <c r="M36" s="16" t="s">
        <v>65</v>
      </c>
      <c r="N36" s="2"/>
      <c r="O36" s="10"/>
      <c r="P36" s="16" t="s">
        <v>95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16" t="s">
        <v>212</v>
      </c>
      <c r="B37" s="25">
        <v>6.0</v>
      </c>
      <c r="C37" s="16" t="s">
        <v>12</v>
      </c>
      <c r="D37" s="16" t="s">
        <v>13</v>
      </c>
      <c r="E37" s="25">
        <v>1.0</v>
      </c>
      <c r="F37" s="25">
        <v>1.0</v>
      </c>
      <c r="G37" s="16" t="s">
        <v>14</v>
      </c>
      <c r="H37" s="16" t="s">
        <v>96</v>
      </c>
      <c r="I37" s="16" t="s">
        <v>18</v>
      </c>
      <c r="J37" s="2"/>
      <c r="K37" s="16" t="s">
        <v>236</v>
      </c>
      <c r="L37" s="16" t="s">
        <v>237</v>
      </c>
      <c r="M37" s="16" t="s">
        <v>238</v>
      </c>
      <c r="N37" s="2"/>
      <c r="O37" s="10"/>
      <c r="P37" s="16" t="s">
        <v>95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16" t="s">
        <v>212</v>
      </c>
      <c r="B38" s="25">
        <v>6.0</v>
      </c>
      <c r="C38" s="16" t="s">
        <v>12</v>
      </c>
      <c r="D38" s="16" t="s">
        <v>13</v>
      </c>
      <c r="E38" s="25">
        <v>1.0</v>
      </c>
      <c r="F38" s="25">
        <v>1.0</v>
      </c>
      <c r="G38" s="16" t="s">
        <v>14</v>
      </c>
      <c r="H38" s="16" t="s">
        <v>96</v>
      </c>
      <c r="I38" s="16" t="s">
        <v>18</v>
      </c>
      <c r="J38" s="2"/>
      <c r="K38" s="16" t="s">
        <v>239</v>
      </c>
      <c r="L38" s="16" t="s">
        <v>240</v>
      </c>
      <c r="M38" s="16" t="s">
        <v>84</v>
      </c>
      <c r="N38" s="2"/>
      <c r="O38" s="10"/>
      <c r="P38" s="16" t="s">
        <v>95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16" t="s">
        <v>212</v>
      </c>
      <c r="B39" s="25">
        <v>6.0</v>
      </c>
      <c r="C39" s="16" t="s">
        <v>12</v>
      </c>
      <c r="D39" s="16" t="s">
        <v>13</v>
      </c>
      <c r="E39" s="25">
        <v>1.0</v>
      </c>
      <c r="F39" s="25">
        <v>1.0</v>
      </c>
      <c r="G39" s="16" t="s">
        <v>14</v>
      </c>
      <c r="H39" s="16" t="s">
        <v>96</v>
      </c>
      <c r="I39" s="16" t="s">
        <v>18</v>
      </c>
      <c r="J39" s="2"/>
      <c r="K39" s="16" t="s">
        <v>241</v>
      </c>
      <c r="L39" s="16" t="s">
        <v>242</v>
      </c>
      <c r="M39" s="16" t="s">
        <v>243</v>
      </c>
      <c r="N39" s="2"/>
      <c r="O39" s="10"/>
      <c r="P39" s="16" t="s">
        <v>95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16" t="s">
        <v>212</v>
      </c>
      <c r="B40" s="25">
        <v>6.0</v>
      </c>
      <c r="C40" s="16" t="s">
        <v>12</v>
      </c>
      <c r="D40" s="16" t="s">
        <v>13</v>
      </c>
      <c r="E40" s="25">
        <v>1.0</v>
      </c>
      <c r="F40" s="25">
        <v>1.0</v>
      </c>
      <c r="G40" s="16" t="s">
        <v>14</v>
      </c>
      <c r="H40" s="16" t="s">
        <v>96</v>
      </c>
      <c r="I40" s="16" t="s">
        <v>18</v>
      </c>
      <c r="J40" s="2"/>
      <c r="K40" s="16" t="s">
        <v>244</v>
      </c>
      <c r="L40" s="8" t="s">
        <v>245</v>
      </c>
      <c r="M40" s="16" t="s">
        <v>78</v>
      </c>
      <c r="N40" s="2"/>
      <c r="O40" s="10"/>
      <c r="P40" s="16" t="s">
        <v>95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16" t="s">
        <v>212</v>
      </c>
      <c r="B41" s="25">
        <v>6.0</v>
      </c>
      <c r="C41" s="16" t="s">
        <v>12</v>
      </c>
      <c r="D41" s="16" t="s">
        <v>13</v>
      </c>
      <c r="E41" s="25">
        <v>1.0</v>
      </c>
      <c r="F41" s="25">
        <v>1.0</v>
      </c>
      <c r="G41" s="16" t="s">
        <v>14</v>
      </c>
      <c r="H41" s="16" t="s">
        <v>96</v>
      </c>
      <c r="I41" s="16" t="s">
        <v>18</v>
      </c>
      <c r="J41" s="2"/>
      <c r="K41" s="16" t="s">
        <v>246</v>
      </c>
      <c r="L41" s="8" t="s">
        <v>247</v>
      </c>
      <c r="M41" s="16" t="s">
        <v>248</v>
      </c>
      <c r="N41" s="2"/>
      <c r="O41" s="10"/>
      <c r="P41" s="16" t="s">
        <v>95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16" t="s">
        <v>249</v>
      </c>
      <c r="B42" s="4"/>
      <c r="C42" s="2"/>
      <c r="D42" s="2"/>
      <c r="E42" s="2"/>
      <c r="F42" s="21"/>
      <c r="G42" s="4"/>
      <c r="H42" s="2"/>
      <c r="I42" s="2"/>
      <c r="J42" s="2"/>
      <c r="K42" s="8" t="s">
        <v>250</v>
      </c>
      <c r="L42" s="8" t="s">
        <v>251</v>
      </c>
      <c r="M42" s="8" t="s">
        <v>252</v>
      </c>
      <c r="O42" s="16"/>
      <c r="P42" s="16" t="s">
        <v>11</v>
      </c>
    </row>
    <row r="43">
      <c r="A43" s="16" t="s">
        <v>249</v>
      </c>
      <c r="B43" s="4"/>
      <c r="C43" s="2"/>
      <c r="D43" s="2"/>
      <c r="E43" s="2"/>
      <c r="F43" s="21"/>
      <c r="G43" s="4"/>
      <c r="H43" s="2"/>
      <c r="I43" s="2"/>
      <c r="J43" s="2"/>
      <c r="K43" s="27" t="s">
        <v>254</v>
      </c>
      <c r="L43" s="16" t="s">
        <v>255</v>
      </c>
      <c r="M43" s="28" t="s">
        <v>256</v>
      </c>
      <c r="O43" s="16"/>
      <c r="P43" s="16" t="s">
        <v>11</v>
      </c>
    </row>
    <row r="44">
      <c r="A44" s="16" t="s">
        <v>249</v>
      </c>
      <c r="B44" s="4"/>
      <c r="C44" s="2"/>
      <c r="D44" s="2"/>
      <c r="E44" s="2"/>
      <c r="F44" s="21"/>
      <c r="G44" s="4"/>
      <c r="H44" s="2"/>
      <c r="I44" s="2"/>
      <c r="J44" s="2"/>
      <c r="K44" s="8" t="s">
        <v>257</v>
      </c>
      <c r="L44" s="16" t="s">
        <v>258</v>
      </c>
      <c r="M44" s="28" t="s">
        <v>259</v>
      </c>
      <c r="O44" s="16"/>
      <c r="P44" s="16" t="s">
        <v>11</v>
      </c>
    </row>
    <row r="45">
      <c r="A45" s="16"/>
      <c r="B45" s="4"/>
      <c r="C45" s="2"/>
      <c r="D45" s="2"/>
      <c r="E45" s="2"/>
      <c r="F45" s="21"/>
      <c r="G45" s="4"/>
      <c r="H45" s="2"/>
      <c r="I45" s="2"/>
      <c r="J45" s="2"/>
      <c r="L45" s="16"/>
      <c r="M45" s="28"/>
      <c r="O45" s="16"/>
      <c r="P45" s="16"/>
    </row>
    <row r="46">
      <c r="A46" s="16"/>
      <c r="B46" s="4"/>
      <c r="C46" s="2"/>
      <c r="D46" s="2"/>
      <c r="E46" s="2"/>
      <c r="F46" s="21"/>
      <c r="G46" s="4"/>
      <c r="H46" s="2"/>
      <c r="I46" s="2"/>
      <c r="J46" s="2"/>
      <c r="K46" s="27"/>
      <c r="L46" s="16"/>
      <c r="M46" s="28"/>
      <c r="O46" s="16"/>
      <c r="P46" s="16"/>
    </row>
    <row r="47">
      <c r="A47" s="16"/>
      <c r="B47" s="4"/>
      <c r="C47" s="2"/>
      <c r="D47" s="2"/>
      <c r="E47" s="2"/>
      <c r="F47" s="21"/>
      <c r="G47" s="4"/>
      <c r="H47" s="2"/>
      <c r="I47" s="2"/>
      <c r="J47" s="2"/>
      <c r="L47" s="16"/>
      <c r="M47" s="28"/>
      <c r="O47" s="16"/>
      <c r="P47" s="16"/>
    </row>
    <row r="48">
      <c r="A48" s="16"/>
      <c r="B48" s="4"/>
      <c r="C48" s="2"/>
      <c r="D48" s="2"/>
      <c r="E48" s="2"/>
      <c r="F48" s="21"/>
      <c r="G48" s="4"/>
      <c r="H48" s="2"/>
      <c r="I48" s="2"/>
      <c r="J48" s="2"/>
      <c r="L48" s="16"/>
      <c r="M48" s="28"/>
      <c r="O48" s="16"/>
      <c r="P48" s="16"/>
    </row>
    <row r="49">
      <c r="A49" s="16"/>
      <c r="B49" s="4"/>
      <c r="C49" s="2"/>
      <c r="D49" s="2"/>
      <c r="E49" s="2"/>
      <c r="F49" s="21"/>
      <c r="G49" s="4"/>
      <c r="H49" s="2"/>
      <c r="I49" s="2"/>
      <c r="J49" s="2"/>
      <c r="L49" s="16"/>
      <c r="M49" s="28"/>
      <c r="O49" s="16"/>
      <c r="P49" s="16"/>
    </row>
    <row r="50">
      <c r="A50" s="16"/>
      <c r="B50" s="4"/>
      <c r="C50" s="2"/>
      <c r="D50" s="2"/>
      <c r="E50" s="2"/>
      <c r="F50" s="21"/>
      <c r="G50" s="4"/>
      <c r="H50" s="2"/>
      <c r="I50" s="2"/>
      <c r="J50" s="2"/>
      <c r="L50" s="16"/>
      <c r="M50" s="28"/>
      <c r="O50" s="16"/>
      <c r="P50" s="16"/>
    </row>
    <row r="51">
      <c r="A51" s="16"/>
      <c r="B51" s="4"/>
      <c r="C51" s="2"/>
      <c r="D51" s="2"/>
      <c r="E51" s="2"/>
      <c r="F51" s="21"/>
      <c r="G51" s="4"/>
      <c r="H51" s="2"/>
      <c r="I51" s="2"/>
      <c r="J51" s="2"/>
      <c r="L51" s="16"/>
      <c r="M51" s="28"/>
      <c r="O51" s="16"/>
      <c r="P51" s="16"/>
    </row>
    <row r="52">
      <c r="A52" s="16"/>
      <c r="B52" s="4"/>
      <c r="C52" s="2"/>
      <c r="D52" s="2"/>
      <c r="E52" s="2"/>
      <c r="F52" s="21"/>
      <c r="G52" s="4"/>
      <c r="H52" s="2"/>
      <c r="I52" s="2"/>
      <c r="J52" s="2"/>
      <c r="L52" s="16"/>
      <c r="M52" s="28"/>
      <c r="O52" s="16"/>
      <c r="P52" s="16"/>
    </row>
    <row r="53">
      <c r="A53" s="16"/>
      <c r="B53" s="4"/>
      <c r="C53" s="2"/>
      <c r="D53" s="2"/>
      <c r="E53" s="2"/>
      <c r="F53" s="21"/>
      <c r="G53" s="4"/>
      <c r="H53" s="2"/>
      <c r="I53" s="2"/>
      <c r="J53" s="2"/>
      <c r="L53" s="16"/>
      <c r="M53" s="28"/>
      <c r="O53" s="16"/>
      <c r="P53" s="16"/>
    </row>
    <row r="54">
      <c r="A54" s="16"/>
      <c r="B54" s="4"/>
      <c r="C54" s="2"/>
      <c r="D54" s="2"/>
      <c r="E54" s="2"/>
      <c r="F54" s="21"/>
      <c r="G54" s="4"/>
      <c r="H54" s="2"/>
      <c r="I54" s="2"/>
      <c r="J54" s="2"/>
      <c r="M54" s="28"/>
      <c r="O54" s="16"/>
      <c r="P54" s="16"/>
    </row>
    <row r="55">
      <c r="A55" s="16"/>
      <c r="B55" s="4"/>
      <c r="C55" s="2"/>
      <c r="D55" s="2"/>
      <c r="E55" s="2"/>
      <c r="F55" s="21"/>
      <c r="G55" s="4"/>
      <c r="H55" s="2"/>
      <c r="I55" s="2"/>
      <c r="J55" s="2"/>
      <c r="L55" s="28"/>
      <c r="M55" s="28"/>
      <c r="O55" s="16"/>
      <c r="P55" s="16"/>
    </row>
    <row r="56">
      <c r="A56" s="16"/>
      <c r="B56" s="4"/>
      <c r="C56" s="2"/>
      <c r="D56" s="2"/>
      <c r="E56" s="2"/>
      <c r="F56" s="21"/>
      <c r="G56" s="4"/>
      <c r="H56" s="2"/>
      <c r="I56" s="2"/>
      <c r="J56" s="2"/>
      <c r="M56" s="28"/>
      <c r="O56" s="16"/>
      <c r="P56" s="16"/>
    </row>
    <row r="57">
      <c r="A57" s="16"/>
      <c r="B57" s="4"/>
      <c r="C57" s="2"/>
      <c r="D57" s="2"/>
      <c r="E57" s="2"/>
      <c r="F57" s="21"/>
      <c r="G57" s="4"/>
      <c r="H57" s="2"/>
      <c r="I57" s="2"/>
      <c r="J57" s="2"/>
      <c r="M57" s="28"/>
      <c r="O57" s="16"/>
      <c r="P57" s="16"/>
    </row>
    <row r="58">
      <c r="A58" s="16"/>
      <c r="B58" s="4"/>
      <c r="C58" s="2"/>
      <c r="D58" s="2"/>
      <c r="E58" s="2"/>
      <c r="F58" s="21"/>
      <c r="G58" s="4"/>
      <c r="H58" s="2"/>
      <c r="I58" s="2"/>
      <c r="J58" s="2"/>
      <c r="M58" s="28"/>
      <c r="O58" s="16"/>
      <c r="P58" s="16"/>
    </row>
    <row r="59">
      <c r="A59" s="16"/>
      <c r="B59" s="4"/>
      <c r="C59" s="2"/>
      <c r="D59" s="2"/>
      <c r="E59" s="2"/>
      <c r="F59" s="21"/>
      <c r="G59" s="4"/>
      <c r="H59" s="2"/>
      <c r="I59" s="2"/>
      <c r="J59" s="2"/>
      <c r="M59" s="28"/>
      <c r="O59" s="16"/>
      <c r="P59" s="16"/>
    </row>
    <row r="60">
      <c r="A60" s="16"/>
      <c r="B60" s="4"/>
      <c r="C60" s="2"/>
      <c r="D60" s="2"/>
      <c r="E60" s="2"/>
      <c r="F60" s="21"/>
      <c r="G60" s="4"/>
      <c r="H60" s="2"/>
      <c r="I60" s="2"/>
      <c r="J60" s="2"/>
      <c r="M60" s="28"/>
      <c r="O60" s="16"/>
      <c r="P60" s="16"/>
    </row>
    <row r="61">
      <c r="A61" s="16"/>
      <c r="B61" s="4"/>
      <c r="C61" s="2"/>
      <c r="D61" s="2"/>
      <c r="E61" s="2"/>
      <c r="F61" s="21"/>
      <c r="G61" s="4"/>
      <c r="H61" s="2"/>
      <c r="I61" s="2"/>
      <c r="J61" s="2"/>
      <c r="M61" s="28"/>
      <c r="O61" s="16"/>
      <c r="P61" s="16"/>
    </row>
    <row r="62">
      <c r="A62" s="16"/>
      <c r="B62" s="4"/>
      <c r="C62" s="2"/>
      <c r="D62" s="2"/>
      <c r="E62" s="2"/>
      <c r="F62" s="21"/>
      <c r="G62" s="4"/>
      <c r="H62" s="2"/>
      <c r="I62" s="2"/>
      <c r="J62" s="2"/>
      <c r="M62" s="28"/>
      <c r="O62" s="16"/>
      <c r="P62" s="16"/>
    </row>
    <row r="63">
      <c r="A63" s="16"/>
      <c r="B63" s="4"/>
      <c r="C63" s="2"/>
      <c r="D63" s="2"/>
      <c r="E63" s="2"/>
      <c r="F63" s="21"/>
      <c r="G63" s="4"/>
      <c r="H63" s="2"/>
      <c r="I63" s="2"/>
      <c r="J63" s="2"/>
      <c r="M63" s="28"/>
      <c r="O63" s="16"/>
      <c r="P63" s="16"/>
    </row>
    <row r="64">
      <c r="A64" s="16"/>
      <c r="B64" s="4"/>
      <c r="C64" s="2"/>
      <c r="D64" s="2"/>
      <c r="E64" s="2"/>
      <c r="F64" s="21"/>
      <c r="G64" s="4"/>
      <c r="H64" s="2"/>
      <c r="I64" s="2"/>
      <c r="J64" s="2"/>
      <c r="M64" s="28"/>
      <c r="O64" s="16"/>
      <c r="P64" s="16"/>
    </row>
    <row r="65">
      <c r="A65" s="16"/>
      <c r="B65" s="4"/>
      <c r="C65" s="2"/>
      <c r="D65" s="2"/>
      <c r="E65" s="2"/>
      <c r="F65" s="21"/>
      <c r="G65" s="4"/>
      <c r="H65" s="2"/>
      <c r="I65" s="2"/>
      <c r="J65" s="2"/>
      <c r="M65" s="28"/>
      <c r="O65" s="16"/>
      <c r="P65" s="16"/>
    </row>
    <row r="66">
      <c r="A66" s="16"/>
      <c r="B66" s="4"/>
      <c r="C66" s="2"/>
      <c r="D66" s="2"/>
      <c r="E66" s="2"/>
      <c r="F66" s="21"/>
      <c r="G66" s="4"/>
      <c r="H66" s="2"/>
      <c r="I66" s="2"/>
      <c r="J66" s="2"/>
      <c r="M66" s="28"/>
      <c r="O66" s="16"/>
      <c r="P66" s="16"/>
    </row>
    <row r="67">
      <c r="A67" s="16"/>
      <c r="B67" s="4"/>
      <c r="C67" s="2"/>
      <c r="D67" s="2"/>
      <c r="E67" s="2"/>
      <c r="F67" s="21"/>
      <c r="G67" s="4"/>
      <c r="H67" s="2"/>
      <c r="I67" s="2"/>
      <c r="J67" s="2"/>
      <c r="K67" s="4"/>
      <c r="M67" s="28"/>
      <c r="O67" s="16"/>
      <c r="P67" s="16"/>
    </row>
    <row r="68">
      <c r="A68" s="16"/>
      <c r="B68" s="4"/>
      <c r="C68" s="2"/>
      <c r="D68" s="2"/>
      <c r="E68" s="2"/>
      <c r="F68" s="21"/>
      <c r="G68" s="4"/>
      <c r="H68" s="2"/>
      <c r="I68" s="2"/>
      <c r="J68" s="2"/>
      <c r="M68" s="28"/>
      <c r="O68" s="16"/>
      <c r="P68" s="16"/>
    </row>
    <row r="69">
      <c r="A69" s="16"/>
      <c r="B69" s="4"/>
      <c r="C69" s="2"/>
      <c r="D69" s="2"/>
      <c r="E69" s="2"/>
      <c r="F69" s="21"/>
      <c r="G69" s="4"/>
      <c r="H69" s="2"/>
      <c r="I69" s="2"/>
      <c r="J69" s="2"/>
      <c r="M69" s="28"/>
      <c r="O69" s="16"/>
      <c r="P69" s="16"/>
    </row>
    <row r="70">
      <c r="A70" s="16"/>
      <c r="B70" s="4"/>
      <c r="C70" s="2"/>
      <c r="D70" s="2"/>
      <c r="E70" s="2"/>
      <c r="F70" s="21"/>
      <c r="G70" s="4"/>
      <c r="H70" s="2"/>
      <c r="I70" s="2"/>
      <c r="J70" s="2"/>
      <c r="M70" s="28"/>
      <c r="O70" s="16"/>
      <c r="P70" s="16"/>
    </row>
    <row r="71">
      <c r="A71" s="16"/>
      <c r="B71" s="4"/>
      <c r="C71" s="2"/>
      <c r="D71" s="2"/>
      <c r="E71" s="2"/>
      <c r="F71" s="21"/>
      <c r="G71" s="4"/>
      <c r="H71" s="2"/>
      <c r="I71" s="2"/>
      <c r="J71" s="2"/>
      <c r="M71" s="28"/>
      <c r="O71" s="16"/>
      <c r="P71" s="16"/>
    </row>
    <row r="72">
      <c r="A72" s="16"/>
      <c r="B72" s="4"/>
      <c r="C72" s="2"/>
      <c r="D72" s="2"/>
      <c r="E72" s="2"/>
      <c r="F72" s="21"/>
      <c r="G72" s="4"/>
      <c r="H72" s="2"/>
      <c r="I72" s="2"/>
      <c r="J72" s="2"/>
      <c r="M72" s="28"/>
      <c r="O72" s="16"/>
      <c r="P72" s="16"/>
    </row>
    <row r="73">
      <c r="A73" s="16"/>
      <c r="B73" s="4"/>
      <c r="C73" s="2"/>
      <c r="D73" s="2"/>
      <c r="E73" s="2"/>
      <c r="F73" s="21"/>
      <c r="G73" s="4"/>
      <c r="H73" s="2"/>
      <c r="I73" s="2"/>
      <c r="J73" s="2"/>
      <c r="M73" s="28"/>
      <c r="O73" s="16"/>
      <c r="P73" s="16"/>
    </row>
    <row r="74">
      <c r="A74" s="16"/>
      <c r="B74" s="4"/>
      <c r="C74" s="2"/>
      <c r="D74" s="2"/>
      <c r="E74" s="2"/>
      <c r="F74" s="21"/>
      <c r="G74" s="4"/>
      <c r="H74" s="2"/>
      <c r="I74" s="2"/>
      <c r="J74" s="2"/>
      <c r="M74" s="28"/>
      <c r="O74" s="16"/>
      <c r="P74" s="16"/>
    </row>
    <row r="75">
      <c r="A75" s="16"/>
      <c r="B75" s="4"/>
      <c r="C75" s="2"/>
      <c r="D75" s="2"/>
      <c r="E75" s="2"/>
      <c r="F75" s="21"/>
      <c r="G75" s="4"/>
      <c r="H75" s="2"/>
      <c r="I75" s="2"/>
      <c r="J75" s="2"/>
      <c r="M75" s="28"/>
      <c r="O75" s="16"/>
      <c r="P75" s="16"/>
    </row>
    <row r="76">
      <c r="A76" s="16"/>
      <c r="B76" s="4"/>
      <c r="C76" s="2"/>
      <c r="D76" s="2"/>
      <c r="E76" s="2"/>
      <c r="F76" s="21"/>
      <c r="G76" s="4"/>
      <c r="H76" s="2"/>
      <c r="I76" s="2"/>
      <c r="J76" s="2"/>
      <c r="L76" s="27"/>
      <c r="M76" s="28"/>
      <c r="O76" s="16"/>
      <c r="P76" s="16"/>
    </row>
    <row r="77">
      <c r="A77" s="16"/>
      <c r="B77" s="4"/>
      <c r="C77" s="2"/>
      <c r="D77" s="2"/>
      <c r="E77" s="2"/>
      <c r="F77" s="21"/>
      <c r="G77" s="4"/>
      <c r="H77" s="2"/>
      <c r="I77" s="2"/>
      <c r="J77" s="2"/>
      <c r="M77" s="28"/>
      <c r="O77" s="16"/>
      <c r="P77" s="16"/>
    </row>
    <row r="78">
      <c r="A78" s="16"/>
      <c r="B78" s="4"/>
      <c r="C78" s="2"/>
      <c r="D78" s="2"/>
      <c r="E78" s="2"/>
      <c r="F78" s="21"/>
      <c r="G78" s="4"/>
      <c r="H78" s="2"/>
      <c r="I78" s="2"/>
      <c r="J78" s="2"/>
      <c r="M78" s="28"/>
      <c r="O78" s="16"/>
      <c r="P78" s="16"/>
    </row>
    <row r="79">
      <c r="A79" s="16"/>
      <c r="B79" s="4"/>
      <c r="C79" s="2"/>
      <c r="D79" s="2"/>
      <c r="E79" s="2"/>
      <c r="F79" s="21"/>
      <c r="G79" s="4"/>
      <c r="H79" s="2"/>
      <c r="I79" s="2"/>
      <c r="J79" s="2"/>
      <c r="M79" s="28"/>
      <c r="O79" s="16"/>
      <c r="P79" s="16"/>
    </row>
    <row r="80">
      <c r="A80" s="16"/>
      <c r="B80" s="4"/>
      <c r="C80" s="2"/>
      <c r="D80" s="2"/>
      <c r="E80" s="2"/>
      <c r="F80" s="21"/>
      <c r="G80" s="4"/>
      <c r="H80" s="2"/>
      <c r="I80" s="2"/>
      <c r="J80" s="2"/>
      <c r="O80" s="16"/>
      <c r="P80" s="16"/>
    </row>
    <row r="81">
      <c r="A81" s="16"/>
      <c r="B81" s="4"/>
      <c r="C81" s="2"/>
      <c r="D81" s="2"/>
      <c r="E81" s="2"/>
      <c r="F81" s="21"/>
      <c r="G81" s="4"/>
      <c r="H81" s="2"/>
      <c r="I81" s="2"/>
      <c r="J81" s="2"/>
      <c r="M81" s="28"/>
      <c r="O81" s="16"/>
      <c r="P81" s="16"/>
    </row>
    <row r="82">
      <c r="A82" s="16"/>
      <c r="B82" s="4"/>
      <c r="C82" s="2"/>
      <c r="D82" s="2"/>
      <c r="E82" s="2"/>
      <c r="F82" s="21"/>
      <c r="G82" s="4"/>
      <c r="H82" s="2"/>
      <c r="I82" s="2"/>
      <c r="J82" s="2"/>
      <c r="M82" s="28"/>
      <c r="O82" s="16"/>
      <c r="P82" s="16"/>
    </row>
    <row r="83">
      <c r="A83" s="16"/>
      <c r="B83" s="4"/>
      <c r="C83" s="2"/>
      <c r="D83" s="2"/>
      <c r="E83" s="2"/>
      <c r="F83" s="21"/>
      <c r="G83" s="4"/>
      <c r="H83" s="2"/>
      <c r="I83" s="2"/>
      <c r="J83" s="2"/>
      <c r="M83" s="28"/>
      <c r="O83" s="16"/>
      <c r="P83" s="16"/>
    </row>
    <row r="84">
      <c r="A84" s="16"/>
      <c r="B84" s="4"/>
      <c r="C84" s="2"/>
      <c r="D84" s="2"/>
      <c r="E84" s="2"/>
      <c r="F84" s="21"/>
      <c r="G84" s="4"/>
      <c r="H84" s="2"/>
      <c r="I84" s="2"/>
      <c r="J84" s="2"/>
      <c r="M84" s="28"/>
      <c r="O84" s="16"/>
      <c r="P84" s="16"/>
    </row>
    <row r="85">
      <c r="A85" s="16"/>
      <c r="B85" s="4"/>
      <c r="C85" s="2"/>
      <c r="D85" s="2"/>
      <c r="E85" s="2"/>
      <c r="F85" s="21"/>
      <c r="G85" s="4"/>
      <c r="H85" s="2"/>
      <c r="I85" s="2"/>
      <c r="J85" s="2"/>
      <c r="M85" s="28"/>
      <c r="O85" s="16"/>
      <c r="P85" s="16"/>
    </row>
    <row r="86">
      <c r="A86" s="16"/>
      <c r="B86" s="4"/>
      <c r="C86" s="2"/>
      <c r="D86" s="2"/>
      <c r="E86" s="2"/>
      <c r="F86" s="21"/>
      <c r="G86" s="4"/>
      <c r="H86" s="2"/>
      <c r="I86" s="2"/>
      <c r="J86" s="2"/>
      <c r="L86" s="27"/>
      <c r="M86" s="28"/>
      <c r="O86" s="16"/>
      <c r="P86" s="16"/>
    </row>
    <row r="87">
      <c r="A87" s="16"/>
      <c r="B87" s="4"/>
      <c r="C87" s="2"/>
      <c r="D87" s="2"/>
      <c r="E87" s="2"/>
      <c r="F87" s="21"/>
      <c r="G87" s="4"/>
      <c r="H87" s="2"/>
      <c r="I87" s="2"/>
      <c r="J87" s="2"/>
      <c r="M87" s="28"/>
      <c r="O87" s="16"/>
      <c r="P87" s="16"/>
    </row>
    <row r="88">
      <c r="A88" s="16"/>
      <c r="B88" s="4"/>
      <c r="C88" s="2"/>
      <c r="D88" s="2"/>
      <c r="E88" s="2"/>
      <c r="F88" s="21"/>
      <c r="G88" s="4"/>
      <c r="H88" s="2"/>
      <c r="I88" s="2"/>
      <c r="J88" s="2"/>
      <c r="M88" s="28"/>
      <c r="O88" s="16"/>
      <c r="P88" s="16"/>
    </row>
    <row r="89">
      <c r="A89" s="16"/>
      <c r="B89" s="4"/>
      <c r="C89" s="2"/>
      <c r="D89" s="2"/>
      <c r="E89" s="2"/>
      <c r="F89" s="21"/>
      <c r="G89" s="4"/>
      <c r="H89" s="2"/>
      <c r="I89" s="2"/>
      <c r="J89" s="2"/>
      <c r="M89" s="28"/>
      <c r="O89" s="16"/>
      <c r="P89" s="16"/>
    </row>
    <row r="90">
      <c r="A90" s="16"/>
      <c r="B90" s="4"/>
      <c r="C90" s="2"/>
      <c r="D90" s="2"/>
      <c r="E90" s="2"/>
      <c r="F90" s="21"/>
      <c r="G90" s="4"/>
      <c r="H90" s="2"/>
      <c r="I90" s="2"/>
      <c r="J90" s="2"/>
      <c r="M90" s="28"/>
      <c r="O90" s="16"/>
      <c r="P90" s="16"/>
    </row>
    <row r="91">
      <c r="A91" s="16"/>
      <c r="B91" s="4"/>
      <c r="C91" s="2"/>
      <c r="D91" s="2"/>
      <c r="E91" s="2"/>
      <c r="F91" s="21"/>
      <c r="G91" s="4"/>
      <c r="H91" s="2"/>
      <c r="I91" s="2"/>
      <c r="J91" s="2"/>
      <c r="M91" s="28"/>
      <c r="O91" s="16"/>
      <c r="P91" s="16"/>
    </row>
    <row r="92">
      <c r="A92" s="16"/>
      <c r="B92" s="4"/>
      <c r="C92" s="2"/>
      <c r="D92" s="2"/>
      <c r="E92" s="2"/>
      <c r="F92" s="21"/>
      <c r="G92" s="4"/>
      <c r="H92" s="2"/>
      <c r="I92" s="2"/>
      <c r="J92" s="2"/>
      <c r="M92" s="28"/>
      <c r="O92" s="16"/>
      <c r="P92" s="16"/>
    </row>
    <row r="93">
      <c r="A93" s="16"/>
      <c r="B93" s="4"/>
      <c r="C93" s="2"/>
      <c r="D93" s="2"/>
      <c r="E93" s="2"/>
      <c r="F93" s="21"/>
      <c r="G93" s="4"/>
      <c r="H93" s="2"/>
      <c r="I93" s="2"/>
      <c r="J93" s="2"/>
      <c r="M93" s="28"/>
      <c r="O93" s="16"/>
      <c r="P93" s="16"/>
    </row>
    <row r="94">
      <c r="A94" s="16"/>
      <c r="B94" s="4"/>
      <c r="C94" s="2"/>
      <c r="D94" s="2"/>
      <c r="E94" s="2"/>
      <c r="F94" s="21"/>
      <c r="G94" s="4"/>
      <c r="H94" s="2"/>
      <c r="I94" s="2"/>
      <c r="J94" s="2"/>
      <c r="M94" s="28"/>
      <c r="O94" s="16"/>
      <c r="P94" s="16"/>
    </row>
    <row r="95">
      <c r="A95" s="16"/>
      <c r="B95" s="4"/>
      <c r="C95" s="2"/>
      <c r="D95" s="2"/>
      <c r="E95" s="2"/>
      <c r="F95" s="21"/>
      <c r="G95" s="4"/>
      <c r="H95" s="2"/>
      <c r="I95" s="2"/>
      <c r="J95" s="2"/>
      <c r="M95" s="28"/>
      <c r="O95" s="16"/>
      <c r="P95" s="16"/>
    </row>
    <row r="96">
      <c r="A96" s="16"/>
      <c r="B96" s="4"/>
      <c r="C96" s="2"/>
      <c r="D96" s="2"/>
      <c r="E96" s="2"/>
      <c r="F96" s="21"/>
      <c r="G96" s="4"/>
      <c r="H96" s="2"/>
      <c r="I96" s="2"/>
      <c r="J96" s="2"/>
      <c r="M96" s="28"/>
      <c r="O96" s="16"/>
      <c r="P96" s="16"/>
    </row>
    <row r="97">
      <c r="A97" s="16"/>
      <c r="B97" s="4"/>
      <c r="C97" s="2"/>
      <c r="D97" s="2"/>
      <c r="E97" s="2"/>
      <c r="F97" s="21"/>
      <c r="G97" s="4"/>
      <c r="H97" s="2"/>
      <c r="I97" s="2"/>
      <c r="J97" s="2"/>
      <c r="M97" s="28"/>
      <c r="O97" s="16"/>
      <c r="P97" s="16"/>
    </row>
    <row r="98">
      <c r="A98" s="16"/>
      <c r="B98" s="4"/>
      <c r="C98" s="2"/>
      <c r="D98" s="2"/>
      <c r="E98" s="2"/>
      <c r="F98" s="21"/>
      <c r="G98" s="4"/>
      <c r="H98" s="2"/>
      <c r="I98" s="2"/>
      <c r="J98" s="2"/>
      <c r="M98" s="28"/>
      <c r="O98" s="16"/>
      <c r="P98" s="16"/>
    </row>
    <row r="99">
      <c r="A99" s="16"/>
      <c r="B99" s="4"/>
      <c r="C99" s="2"/>
      <c r="D99" s="2"/>
      <c r="E99" s="2"/>
      <c r="F99" s="21"/>
      <c r="G99" s="4"/>
      <c r="H99" s="2"/>
      <c r="I99" s="2"/>
      <c r="J99" s="2"/>
      <c r="M99" s="28"/>
      <c r="O99" s="16"/>
      <c r="P99" s="16"/>
    </row>
    <row r="100">
      <c r="A100" s="16"/>
      <c r="B100" s="4"/>
      <c r="C100" s="2"/>
      <c r="D100" s="2"/>
      <c r="E100" s="2"/>
      <c r="F100" s="21"/>
      <c r="G100" s="4"/>
      <c r="H100" s="2"/>
      <c r="I100" s="2"/>
      <c r="J100" s="2"/>
      <c r="M100" s="28"/>
      <c r="O100" s="16"/>
      <c r="P100" s="16"/>
    </row>
    <row r="101">
      <c r="A101" s="16"/>
      <c r="B101" s="4"/>
      <c r="C101" s="2"/>
      <c r="D101" s="2"/>
      <c r="E101" s="2"/>
      <c r="F101" s="21"/>
      <c r="G101" s="4"/>
      <c r="H101" s="2"/>
      <c r="I101" s="2"/>
      <c r="J101" s="2"/>
      <c r="M101" s="28"/>
      <c r="O101" s="16"/>
      <c r="P101" s="16"/>
    </row>
    <row r="102">
      <c r="A102" s="16"/>
      <c r="B102" s="4"/>
      <c r="C102" s="2"/>
      <c r="D102" s="2"/>
      <c r="E102" s="2"/>
      <c r="F102" s="21"/>
      <c r="G102" s="4"/>
      <c r="H102" s="2"/>
      <c r="I102" s="2"/>
      <c r="J102" s="2"/>
      <c r="M102" s="28"/>
      <c r="O102" s="16"/>
      <c r="P102" s="16"/>
    </row>
    <row r="103">
      <c r="A103" s="16"/>
      <c r="B103" s="4"/>
      <c r="C103" s="2"/>
      <c r="D103" s="2"/>
      <c r="E103" s="2"/>
      <c r="F103" s="21"/>
      <c r="G103" s="4"/>
      <c r="H103" s="2"/>
      <c r="I103" s="2"/>
      <c r="J103" s="2"/>
      <c r="M103" s="28"/>
      <c r="O103" s="16"/>
      <c r="P103" s="16"/>
    </row>
    <row r="104">
      <c r="A104" s="16"/>
      <c r="B104" s="4"/>
      <c r="C104" s="2"/>
      <c r="D104" s="2"/>
      <c r="E104" s="2"/>
      <c r="F104" s="21"/>
      <c r="G104" s="4"/>
      <c r="H104" s="2"/>
      <c r="I104" s="2"/>
      <c r="J104" s="2"/>
      <c r="M104" s="28"/>
      <c r="O104" s="16"/>
      <c r="P104" s="16"/>
    </row>
    <row r="105">
      <c r="A105" s="16"/>
      <c r="B105" s="4"/>
      <c r="C105" s="2"/>
      <c r="D105" s="2"/>
      <c r="E105" s="2"/>
      <c r="F105" s="21"/>
      <c r="G105" s="4"/>
      <c r="H105" s="2"/>
      <c r="I105" s="2"/>
      <c r="J105" s="2"/>
      <c r="M105" s="28"/>
      <c r="O105" s="16"/>
      <c r="P105" s="16"/>
    </row>
    <row r="106">
      <c r="A106" s="16"/>
      <c r="B106" s="4"/>
      <c r="C106" s="2"/>
      <c r="D106" s="2"/>
      <c r="E106" s="2"/>
      <c r="F106" s="21"/>
      <c r="G106" s="4"/>
      <c r="H106" s="2"/>
      <c r="I106" s="2"/>
      <c r="J106" s="2"/>
      <c r="M106" s="28"/>
      <c r="O106" s="16"/>
      <c r="P106" s="16"/>
    </row>
    <row r="107">
      <c r="A107" s="16"/>
      <c r="B107" s="4"/>
      <c r="C107" s="2"/>
      <c r="D107" s="2"/>
      <c r="E107" s="2"/>
      <c r="F107" s="21"/>
      <c r="G107" s="4"/>
      <c r="H107" s="2"/>
      <c r="I107" s="2"/>
      <c r="J107" s="2"/>
      <c r="M107" s="28"/>
      <c r="O107" s="16"/>
      <c r="P107" s="16"/>
    </row>
    <row r="108">
      <c r="A108" s="16"/>
      <c r="B108" s="4"/>
      <c r="C108" s="2"/>
      <c r="D108" s="2"/>
      <c r="E108" s="2"/>
      <c r="F108" s="21"/>
      <c r="G108" s="4"/>
      <c r="H108" s="2"/>
      <c r="I108" s="2"/>
      <c r="J108" s="2"/>
      <c r="M108" s="28"/>
      <c r="O108" s="16"/>
      <c r="P108" s="16"/>
    </row>
    <row r="109">
      <c r="A109" s="16"/>
      <c r="B109" s="4"/>
      <c r="C109" s="2"/>
      <c r="D109" s="2"/>
      <c r="E109" s="2"/>
      <c r="F109" s="21"/>
      <c r="G109" s="4"/>
      <c r="H109" s="2"/>
      <c r="I109" s="2"/>
      <c r="J109" s="2"/>
      <c r="M109" s="28"/>
      <c r="O109" s="16"/>
      <c r="P109" s="16"/>
    </row>
    <row r="110">
      <c r="A110" s="16"/>
      <c r="B110" s="4"/>
      <c r="C110" s="2"/>
      <c r="D110" s="2"/>
      <c r="E110" s="2"/>
      <c r="F110" s="21"/>
      <c r="G110" s="4"/>
      <c r="H110" s="2"/>
      <c r="I110" s="2"/>
      <c r="J110" s="2"/>
      <c r="M110" s="28"/>
      <c r="O110" s="16"/>
      <c r="P110" s="16"/>
    </row>
    <row r="111">
      <c r="A111" s="16"/>
      <c r="B111" s="4"/>
      <c r="C111" s="2"/>
      <c r="D111" s="2"/>
      <c r="E111" s="2"/>
      <c r="F111" s="21"/>
      <c r="G111" s="4"/>
      <c r="H111" s="2"/>
      <c r="I111" s="2"/>
      <c r="J111" s="2"/>
      <c r="M111" s="28"/>
      <c r="O111" s="16"/>
      <c r="P111" s="16"/>
    </row>
    <row r="112">
      <c r="A112" s="16"/>
      <c r="B112" s="4"/>
      <c r="C112" s="2"/>
      <c r="D112" s="2"/>
      <c r="E112" s="2"/>
      <c r="F112" s="21"/>
      <c r="G112" s="4"/>
      <c r="H112" s="2"/>
      <c r="I112" s="2"/>
      <c r="J112" s="2"/>
      <c r="M112" s="28"/>
      <c r="O112" s="16"/>
      <c r="P112" s="16"/>
    </row>
    <row r="113">
      <c r="A113" s="16"/>
      <c r="B113" s="4"/>
      <c r="C113" s="2"/>
      <c r="D113" s="2"/>
      <c r="E113" s="2"/>
      <c r="F113" s="21"/>
      <c r="G113" s="4"/>
      <c r="H113" s="2"/>
      <c r="I113" s="2"/>
      <c r="J113" s="2"/>
      <c r="M113" s="28"/>
      <c r="O113" s="16"/>
      <c r="P113" s="16"/>
    </row>
    <row r="114">
      <c r="A114" s="16"/>
      <c r="B114" s="4"/>
      <c r="C114" s="2"/>
      <c r="D114" s="2"/>
      <c r="E114" s="2"/>
      <c r="F114" s="21"/>
      <c r="G114" s="4"/>
      <c r="H114" s="2"/>
      <c r="I114" s="2"/>
      <c r="J114" s="2"/>
      <c r="M114" s="28"/>
      <c r="O114" s="16"/>
      <c r="P114" s="16"/>
    </row>
    <row r="115">
      <c r="A115" s="16"/>
      <c r="B115" s="4"/>
      <c r="C115" s="2"/>
      <c r="D115" s="2"/>
      <c r="E115" s="2"/>
      <c r="F115" s="21"/>
      <c r="G115" s="4"/>
      <c r="H115" s="2"/>
      <c r="I115" s="2"/>
      <c r="J115" s="2"/>
      <c r="M115" s="28"/>
      <c r="O115" s="16"/>
      <c r="P115" s="16"/>
    </row>
    <row r="116">
      <c r="A116" s="16"/>
      <c r="B116" s="4"/>
      <c r="C116" s="2"/>
      <c r="D116" s="2"/>
      <c r="E116" s="2"/>
      <c r="F116" s="21"/>
      <c r="G116" s="4"/>
      <c r="H116" s="2"/>
      <c r="I116" s="2"/>
      <c r="J116" s="2"/>
      <c r="M116" s="28"/>
      <c r="O116" s="16"/>
      <c r="P116" s="16"/>
    </row>
    <row r="117">
      <c r="A117" s="16"/>
      <c r="B117" s="4"/>
      <c r="C117" s="2"/>
      <c r="D117" s="2"/>
      <c r="E117" s="2"/>
      <c r="F117" s="21"/>
      <c r="G117" s="4"/>
      <c r="H117" s="2"/>
      <c r="I117" s="2"/>
      <c r="J117" s="2"/>
      <c r="M117" s="28"/>
      <c r="O117" s="16"/>
      <c r="P117" s="16"/>
    </row>
    <row r="118">
      <c r="A118" s="16"/>
      <c r="B118" s="4"/>
      <c r="C118" s="2"/>
      <c r="D118" s="2"/>
      <c r="E118" s="2"/>
      <c r="F118" s="21"/>
      <c r="G118" s="4"/>
      <c r="H118" s="2"/>
      <c r="I118" s="2"/>
      <c r="J118" s="2"/>
      <c r="M118" s="28"/>
      <c r="O118" s="16"/>
      <c r="P118" s="16"/>
    </row>
    <row r="119">
      <c r="A119" s="16"/>
      <c r="B119" s="4"/>
      <c r="C119" s="2"/>
      <c r="D119" s="2"/>
      <c r="E119" s="2"/>
      <c r="F119" s="21"/>
      <c r="G119" s="4"/>
      <c r="H119" s="2"/>
      <c r="I119" s="2"/>
      <c r="J119" s="2"/>
      <c r="M119" s="28"/>
      <c r="O119" s="16"/>
      <c r="P119" s="16"/>
    </row>
    <row r="120">
      <c r="A120" s="16"/>
      <c r="B120" s="4"/>
      <c r="C120" s="2"/>
      <c r="D120" s="2"/>
      <c r="E120" s="2"/>
      <c r="F120" s="21"/>
      <c r="G120" s="4"/>
      <c r="H120" s="2"/>
      <c r="I120" s="2"/>
      <c r="J120" s="2"/>
      <c r="M120" s="28"/>
      <c r="O120" s="16"/>
      <c r="P120" s="16"/>
    </row>
    <row r="121">
      <c r="A121" s="16"/>
      <c r="B121" s="4"/>
      <c r="C121" s="2"/>
      <c r="D121" s="2"/>
      <c r="E121" s="2"/>
      <c r="F121" s="21"/>
      <c r="G121" s="4"/>
      <c r="H121" s="2"/>
      <c r="I121" s="2"/>
      <c r="J121" s="2"/>
      <c r="M121" s="28"/>
      <c r="O121" s="16"/>
      <c r="P121" s="16"/>
    </row>
    <row r="122">
      <c r="A122" s="16"/>
      <c r="B122" s="4"/>
      <c r="C122" s="2"/>
      <c r="D122" s="2"/>
      <c r="E122" s="2"/>
      <c r="F122" s="21"/>
      <c r="G122" s="4"/>
      <c r="H122" s="2"/>
      <c r="I122" s="2"/>
      <c r="J122" s="2"/>
      <c r="M122" s="28"/>
      <c r="O122" s="16"/>
      <c r="P122" s="16"/>
    </row>
    <row r="123">
      <c r="A123" s="16"/>
      <c r="B123" s="4"/>
      <c r="C123" s="2"/>
      <c r="D123" s="2"/>
      <c r="E123" s="2"/>
      <c r="F123" s="21"/>
      <c r="G123" s="4"/>
      <c r="H123" s="2"/>
      <c r="I123" s="2"/>
      <c r="J123" s="2"/>
      <c r="M123" s="28"/>
      <c r="O123" s="16"/>
      <c r="P123" s="16"/>
    </row>
    <row r="124">
      <c r="A124" s="16"/>
      <c r="B124" s="4"/>
      <c r="C124" s="2"/>
      <c r="D124" s="2"/>
      <c r="E124" s="2"/>
      <c r="F124" s="21"/>
      <c r="G124" s="4"/>
      <c r="H124" s="2"/>
      <c r="I124" s="2"/>
      <c r="J124" s="2"/>
      <c r="M124" s="28"/>
      <c r="O124" s="16"/>
      <c r="P124" s="16"/>
    </row>
    <row r="125">
      <c r="A125" s="16"/>
      <c r="B125" s="4"/>
      <c r="C125" s="2"/>
      <c r="D125" s="2"/>
      <c r="E125" s="2"/>
      <c r="F125" s="21"/>
      <c r="G125" s="4"/>
      <c r="H125" s="2"/>
      <c r="I125" s="2"/>
      <c r="J125" s="2"/>
      <c r="M125" s="28"/>
      <c r="O125" s="16"/>
      <c r="P125" s="16"/>
    </row>
    <row r="126">
      <c r="A126" s="16"/>
      <c r="B126" s="4"/>
      <c r="C126" s="2"/>
      <c r="D126" s="2"/>
      <c r="E126" s="2"/>
      <c r="F126" s="21"/>
      <c r="G126" s="4"/>
      <c r="H126" s="2"/>
      <c r="I126" s="2"/>
      <c r="J126" s="2"/>
      <c r="M126" s="28"/>
      <c r="O126" s="16"/>
      <c r="P126" s="16"/>
    </row>
    <row r="127">
      <c r="A127" s="16"/>
      <c r="B127" s="4"/>
      <c r="C127" s="2"/>
      <c r="D127" s="2"/>
      <c r="E127" s="2"/>
      <c r="F127" s="21"/>
      <c r="G127" s="4"/>
      <c r="H127" s="2"/>
      <c r="I127" s="2"/>
      <c r="J127" s="2"/>
      <c r="M127" s="28"/>
      <c r="O127" s="16"/>
      <c r="P127" s="16"/>
    </row>
    <row r="128">
      <c r="A128" s="16"/>
      <c r="B128" s="4"/>
      <c r="C128" s="2"/>
      <c r="D128" s="2"/>
      <c r="E128" s="2"/>
      <c r="F128" s="21"/>
      <c r="G128" s="4"/>
      <c r="H128" s="2"/>
      <c r="I128" s="2"/>
      <c r="J128" s="2"/>
      <c r="M128" s="28"/>
      <c r="O128" s="16"/>
      <c r="P128" s="16"/>
    </row>
    <row r="129">
      <c r="A129" s="16"/>
      <c r="B129" s="4"/>
      <c r="C129" s="2"/>
      <c r="D129" s="2"/>
      <c r="E129" s="2"/>
      <c r="F129" s="21"/>
      <c r="G129" s="4"/>
      <c r="H129" s="2"/>
      <c r="I129" s="2"/>
      <c r="M129" s="28"/>
      <c r="O129" s="16"/>
      <c r="P129" s="16"/>
    </row>
    <row r="130">
      <c r="A130" s="16"/>
      <c r="B130" s="4"/>
      <c r="C130" s="2"/>
      <c r="D130" s="2"/>
      <c r="E130" s="2"/>
      <c r="F130" s="21"/>
      <c r="G130" s="4"/>
      <c r="H130" s="2"/>
      <c r="I130" s="2"/>
      <c r="M130" s="28"/>
      <c r="O130" s="16"/>
      <c r="P130" s="16"/>
    </row>
    <row r="131">
      <c r="A131" s="16"/>
      <c r="B131" s="4"/>
      <c r="C131" s="2"/>
      <c r="D131" s="2"/>
      <c r="E131" s="2"/>
      <c r="F131" s="21"/>
      <c r="G131" s="4"/>
      <c r="H131" s="2"/>
      <c r="I131" s="2"/>
      <c r="K131" s="27"/>
      <c r="M131" s="28"/>
      <c r="O131" s="16"/>
      <c r="P131" s="16"/>
    </row>
    <row r="132">
      <c r="A132" s="16"/>
      <c r="B132" s="4"/>
      <c r="C132" s="2"/>
      <c r="D132" s="2"/>
      <c r="E132" s="2"/>
      <c r="F132" s="21"/>
      <c r="G132" s="4"/>
      <c r="H132" s="2"/>
      <c r="I132" s="2"/>
      <c r="K132" s="27"/>
      <c r="M132" s="28"/>
      <c r="O132" s="16"/>
      <c r="P132" s="16"/>
    </row>
    <row r="133">
      <c r="A133" s="16"/>
      <c r="B133" s="4"/>
      <c r="C133" s="2"/>
      <c r="D133" s="2"/>
      <c r="E133" s="2"/>
      <c r="F133" s="21"/>
      <c r="G133" s="4"/>
      <c r="H133" s="2"/>
      <c r="I133" s="2"/>
      <c r="K133" s="27"/>
      <c r="M133" s="28"/>
      <c r="O133" s="16"/>
      <c r="P133" s="16"/>
    </row>
    <row r="134">
      <c r="A134" s="16"/>
      <c r="B134" s="4"/>
      <c r="C134" s="2"/>
      <c r="D134" s="2"/>
      <c r="E134" s="2"/>
      <c r="F134" s="21"/>
      <c r="G134" s="4"/>
      <c r="H134" s="2"/>
      <c r="I134" s="2"/>
      <c r="K134" s="27"/>
      <c r="M134" s="28"/>
      <c r="O134" s="16"/>
      <c r="P134" s="16"/>
    </row>
    <row r="135">
      <c r="A135" s="16"/>
      <c r="B135" s="4"/>
      <c r="C135" s="2"/>
      <c r="D135" s="2"/>
      <c r="E135" s="2"/>
      <c r="F135" s="21"/>
      <c r="G135" s="4"/>
      <c r="H135" s="2"/>
      <c r="I135" s="2"/>
      <c r="K135" s="27"/>
      <c r="M135" s="28"/>
      <c r="O135" s="16"/>
      <c r="P135" s="16"/>
    </row>
    <row r="136">
      <c r="A136" s="16"/>
      <c r="B136" s="4"/>
      <c r="C136" s="2"/>
      <c r="D136" s="2"/>
      <c r="E136" s="2"/>
      <c r="F136" s="21"/>
      <c r="G136" s="4"/>
      <c r="H136" s="2"/>
      <c r="I136" s="2"/>
      <c r="K136" s="27"/>
      <c r="M136" s="28"/>
      <c r="O136" s="16"/>
      <c r="P136" s="16"/>
    </row>
    <row r="137">
      <c r="A137" s="16"/>
      <c r="B137" s="4"/>
      <c r="C137" s="2"/>
      <c r="D137" s="2"/>
      <c r="E137" s="2"/>
      <c r="F137" s="21"/>
      <c r="G137" s="4"/>
      <c r="H137" s="2"/>
      <c r="I137" s="2"/>
      <c r="K137" s="27"/>
      <c r="M137" s="28"/>
      <c r="O137" s="16"/>
      <c r="P137" s="16"/>
    </row>
    <row r="138">
      <c r="A138" s="16"/>
      <c r="B138" s="4"/>
      <c r="C138" s="2"/>
      <c r="D138" s="2"/>
      <c r="E138" s="2"/>
      <c r="F138" s="21"/>
      <c r="G138" s="4"/>
      <c r="H138" s="2"/>
      <c r="I138" s="2"/>
      <c r="K138" s="27"/>
      <c r="M138" s="28"/>
      <c r="O138" s="16"/>
      <c r="P138" s="16"/>
    </row>
    <row r="139">
      <c r="A139" s="16"/>
      <c r="B139" s="4"/>
      <c r="C139" s="2"/>
      <c r="D139" s="2"/>
      <c r="E139" s="2"/>
      <c r="F139" s="21"/>
      <c r="G139" s="4"/>
      <c r="H139" s="2"/>
      <c r="I139" s="2"/>
      <c r="K139" s="27"/>
      <c r="M139" s="28"/>
      <c r="O139" s="16"/>
      <c r="P139" s="16"/>
    </row>
    <row r="140">
      <c r="A140" s="16"/>
      <c r="B140" s="4"/>
      <c r="C140" s="2"/>
      <c r="D140" s="2"/>
      <c r="E140" s="2"/>
      <c r="F140" s="21"/>
      <c r="G140" s="4"/>
      <c r="H140" s="2"/>
      <c r="I140" s="2"/>
      <c r="K140" s="27"/>
      <c r="M140" s="28"/>
      <c r="O140" s="16"/>
      <c r="P140" s="16"/>
    </row>
    <row r="141">
      <c r="A141" s="16"/>
      <c r="B141" s="4"/>
      <c r="C141" s="2"/>
      <c r="D141" s="2"/>
      <c r="E141" s="2"/>
      <c r="F141" s="21"/>
      <c r="G141" s="4"/>
      <c r="H141" s="2"/>
      <c r="I141" s="2"/>
      <c r="K141" s="27"/>
      <c r="M141" s="28"/>
      <c r="O141" s="16"/>
      <c r="P141" s="16"/>
    </row>
    <row r="142">
      <c r="A142" s="16"/>
      <c r="B142" s="4"/>
      <c r="C142" s="2"/>
      <c r="D142" s="2"/>
      <c r="E142" s="2"/>
      <c r="F142" s="21"/>
      <c r="G142" s="4"/>
      <c r="H142" s="2"/>
      <c r="I142" s="2"/>
      <c r="K142" s="27"/>
      <c r="M142" s="28"/>
      <c r="O142" s="16"/>
      <c r="P142" s="16"/>
    </row>
    <row r="143">
      <c r="A143" s="16"/>
      <c r="B143" s="4"/>
      <c r="C143" s="2"/>
      <c r="D143" s="2"/>
      <c r="E143" s="2"/>
      <c r="F143" s="21"/>
      <c r="G143" s="4"/>
      <c r="H143" s="2"/>
      <c r="I143" s="2"/>
      <c r="K143" s="27"/>
      <c r="M143" s="28"/>
      <c r="O143" s="16"/>
      <c r="P143" s="16"/>
    </row>
    <row r="144">
      <c r="A144" s="16"/>
      <c r="B144" s="4"/>
      <c r="C144" s="2"/>
      <c r="D144" s="2"/>
      <c r="E144" s="2"/>
      <c r="F144" s="21"/>
      <c r="G144" s="4"/>
      <c r="H144" s="2"/>
      <c r="I144" s="2"/>
      <c r="K144" s="27"/>
      <c r="M144" s="28"/>
      <c r="O144" s="16"/>
      <c r="P144" s="16"/>
    </row>
    <row r="145">
      <c r="A145" s="16"/>
      <c r="B145" s="4"/>
      <c r="C145" s="2"/>
      <c r="D145" s="2"/>
      <c r="E145" s="2"/>
      <c r="F145" s="21"/>
      <c r="G145" s="4"/>
      <c r="H145" s="2"/>
      <c r="I145" s="2"/>
      <c r="K145" s="27"/>
      <c r="M145" s="28"/>
      <c r="O145" s="16"/>
      <c r="P145" s="16"/>
    </row>
    <row r="146">
      <c r="A146" s="16"/>
      <c r="B146" s="4"/>
      <c r="C146" s="2"/>
      <c r="D146" s="2"/>
      <c r="E146" s="2"/>
      <c r="F146" s="21"/>
      <c r="G146" s="4"/>
      <c r="H146" s="2"/>
      <c r="I146" s="2"/>
      <c r="K146" s="27"/>
      <c r="M146" s="28"/>
      <c r="O146" s="16"/>
      <c r="P146" s="16"/>
    </row>
    <row r="147">
      <c r="A147" s="16"/>
      <c r="B147" s="4"/>
      <c r="C147" s="2"/>
      <c r="D147" s="2"/>
      <c r="E147" s="2"/>
      <c r="F147" s="21"/>
      <c r="G147" s="4"/>
      <c r="H147" s="2"/>
      <c r="I147" s="2"/>
      <c r="M147" s="28"/>
      <c r="O147" s="16"/>
      <c r="P147" s="16"/>
    </row>
    <row r="148">
      <c r="A148" s="16"/>
      <c r="B148" s="4"/>
      <c r="C148" s="2"/>
      <c r="D148" s="2"/>
      <c r="E148" s="2"/>
      <c r="F148" s="21"/>
      <c r="G148" s="4"/>
      <c r="H148" s="2"/>
      <c r="I148" s="2"/>
      <c r="M148" s="28"/>
      <c r="O148" s="16"/>
      <c r="P148" s="16"/>
    </row>
    <row r="149">
      <c r="A149" s="16"/>
      <c r="B149" s="4"/>
      <c r="C149" s="2"/>
      <c r="D149" s="2"/>
      <c r="E149" s="2"/>
      <c r="F149" s="21"/>
      <c r="G149" s="4"/>
      <c r="H149" s="2"/>
      <c r="I149" s="2"/>
      <c r="M149" s="28"/>
      <c r="O149" s="16"/>
      <c r="P149" s="16"/>
    </row>
    <row r="150">
      <c r="A150" s="16"/>
      <c r="B150" s="4"/>
      <c r="C150" s="2"/>
      <c r="D150" s="2"/>
      <c r="E150" s="2"/>
      <c r="F150" s="21"/>
      <c r="G150" s="4"/>
      <c r="H150" s="2"/>
      <c r="I150" s="2"/>
      <c r="L150" s="27"/>
      <c r="M150" s="28"/>
      <c r="O150" s="16"/>
      <c r="P150" s="16"/>
    </row>
    <row r="151">
      <c r="A151" s="16"/>
      <c r="B151" s="4"/>
      <c r="C151" s="2"/>
      <c r="D151" s="2"/>
      <c r="E151" s="2"/>
      <c r="F151" s="21"/>
      <c r="G151" s="4"/>
      <c r="H151" s="2"/>
      <c r="I151" s="2"/>
      <c r="L151" s="27"/>
      <c r="M151" s="28"/>
      <c r="O151" s="16"/>
      <c r="P151" s="16"/>
    </row>
    <row r="152">
      <c r="A152" s="16"/>
      <c r="B152" s="4"/>
      <c r="C152" s="2"/>
      <c r="D152" s="2"/>
      <c r="E152" s="2"/>
      <c r="F152" s="21"/>
      <c r="G152" s="4"/>
      <c r="H152" s="2"/>
      <c r="I152" s="2"/>
      <c r="L152" s="27"/>
      <c r="M152" s="28"/>
      <c r="O152" s="16"/>
      <c r="P152" s="16"/>
    </row>
    <row r="153">
      <c r="A153" s="16"/>
      <c r="B153" s="4"/>
      <c r="C153" s="2"/>
      <c r="D153" s="2"/>
      <c r="E153" s="2"/>
      <c r="F153" s="21"/>
      <c r="G153" s="4"/>
      <c r="H153" s="2"/>
      <c r="I153" s="2"/>
      <c r="L153" s="27"/>
      <c r="M153" s="28"/>
      <c r="O153" s="16"/>
      <c r="P153" s="16"/>
    </row>
    <row r="154">
      <c r="A154" s="16"/>
      <c r="B154" s="4"/>
      <c r="C154" s="2"/>
      <c r="D154" s="2"/>
      <c r="E154" s="2"/>
      <c r="F154" s="21"/>
      <c r="G154" s="4"/>
      <c r="H154" s="2"/>
      <c r="I154" s="2"/>
      <c r="L154" s="27"/>
      <c r="M154" s="28"/>
      <c r="O154" s="16"/>
      <c r="P154" s="16"/>
    </row>
    <row r="155">
      <c r="A155" s="16"/>
      <c r="B155" s="4"/>
      <c r="C155" s="2"/>
      <c r="D155" s="2"/>
      <c r="E155" s="2"/>
      <c r="F155" s="21"/>
      <c r="G155" s="4"/>
      <c r="H155" s="2"/>
      <c r="I155" s="2"/>
      <c r="L155" s="27"/>
      <c r="M155" s="28"/>
      <c r="O155" s="16"/>
      <c r="P155" s="16"/>
    </row>
    <row r="156">
      <c r="A156" s="16"/>
      <c r="B156" s="4"/>
      <c r="C156" s="2"/>
      <c r="D156" s="2"/>
      <c r="E156" s="2"/>
      <c r="F156" s="21"/>
      <c r="G156" s="4"/>
      <c r="H156" s="2"/>
      <c r="I156" s="2"/>
      <c r="K156" s="27"/>
      <c r="M156" s="28"/>
      <c r="O156" s="16"/>
      <c r="P156" s="16"/>
    </row>
    <row r="157">
      <c r="A157" s="16"/>
      <c r="B157" s="4"/>
      <c r="C157" s="2"/>
      <c r="D157" s="2"/>
      <c r="E157" s="2"/>
      <c r="F157" s="21"/>
      <c r="G157" s="4"/>
      <c r="H157" s="2"/>
      <c r="I157" s="2"/>
      <c r="K157" s="27"/>
      <c r="M157" s="28"/>
      <c r="O157" s="16"/>
      <c r="P157" s="16"/>
    </row>
    <row r="158">
      <c r="A158" s="16"/>
      <c r="B158" s="4"/>
      <c r="C158" s="2"/>
      <c r="D158" s="2"/>
      <c r="E158" s="2"/>
      <c r="F158" s="21"/>
      <c r="G158" s="4"/>
      <c r="H158" s="2"/>
      <c r="I158" s="2"/>
      <c r="K158" s="27"/>
      <c r="M158" s="28"/>
      <c r="O158" s="16"/>
      <c r="P158" s="16"/>
    </row>
    <row r="159">
      <c r="A159" s="16"/>
      <c r="B159" s="4"/>
      <c r="C159" s="2"/>
      <c r="D159" s="2"/>
      <c r="E159" s="2"/>
      <c r="F159" s="21"/>
      <c r="G159" s="4"/>
      <c r="H159" s="2"/>
      <c r="I159" s="2"/>
      <c r="K159" s="27"/>
      <c r="M159" s="28"/>
      <c r="O159" s="16"/>
      <c r="P159" s="16"/>
    </row>
    <row r="160">
      <c r="A160" s="16"/>
      <c r="B160" s="4"/>
      <c r="C160" s="2"/>
      <c r="D160" s="2"/>
      <c r="E160" s="2"/>
      <c r="F160" s="21"/>
      <c r="G160" s="4"/>
      <c r="H160" s="2"/>
      <c r="I160" s="2"/>
      <c r="K160" s="27"/>
      <c r="M160" s="28"/>
      <c r="O160" s="16"/>
      <c r="P160" s="16"/>
    </row>
    <row r="161">
      <c r="A161" s="16"/>
      <c r="B161" s="4"/>
      <c r="C161" s="2"/>
      <c r="D161" s="2"/>
      <c r="E161" s="2"/>
      <c r="F161" s="21"/>
      <c r="G161" s="4"/>
      <c r="H161" s="2"/>
      <c r="I161" s="2"/>
      <c r="K161" s="27"/>
      <c r="M161" s="28"/>
      <c r="O161" s="16"/>
      <c r="P161" s="16"/>
    </row>
    <row r="162">
      <c r="A162" s="16"/>
      <c r="B162" s="4"/>
      <c r="C162" s="2"/>
      <c r="D162" s="2"/>
      <c r="E162" s="2"/>
      <c r="F162" s="21"/>
      <c r="G162" s="4"/>
      <c r="H162" s="2"/>
      <c r="I162" s="2"/>
      <c r="K162" s="27"/>
      <c r="M162" s="28"/>
      <c r="O162" s="16"/>
      <c r="P162" s="16"/>
    </row>
    <row r="163">
      <c r="A163" s="16"/>
      <c r="B163" s="4"/>
      <c r="C163" s="2"/>
      <c r="D163" s="2"/>
      <c r="E163" s="2"/>
      <c r="F163" s="21"/>
      <c r="G163" s="4"/>
      <c r="H163" s="2"/>
      <c r="I163" s="2"/>
      <c r="K163" s="27"/>
      <c r="M163" s="28"/>
      <c r="O163" s="16"/>
      <c r="P163" s="16"/>
    </row>
    <row r="164">
      <c r="A164" s="16"/>
      <c r="B164" s="4"/>
      <c r="C164" s="2"/>
      <c r="D164" s="2"/>
      <c r="E164" s="2"/>
      <c r="F164" s="21"/>
      <c r="G164" s="4"/>
      <c r="H164" s="2"/>
      <c r="I164" s="2"/>
      <c r="K164" s="27"/>
      <c r="M164" s="28"/>
      <c r="O164" s="16"/>
      <c r="P164" s="16"/>
    </row>
    <row r="165">
      <c r="A165" s="16"/>
      <c r="B165" s="4"/>
      <c r="C165" s="2"/>
      <c r="D165" s="2"/>
      <c r="E165" s="2"/>
      <c r="F165" s="21"/>
      <c r="G165" s="4"/>
      <c r="H165" s="2"/>
      <c r="I165" s="2"/>
      <c r="K165" s="27"/>
      <c r="M165" s="28"/>
      <c r="O165" s="16"/>
      <c r="P165" s="16"/>
    </row>
    <row r="166">
      <c r="A166" s="16"/>
      <c r="B166" s="4"/>
      <c r="C166" s="2"/>
      <c r="D166" s="2"/>
      <c r="E166" s="2"/>
      <c r="F166" s="21"/>
      <c r="G166" s="4"/>
      <c r="H166" s="2"/>
      <c r="I166" s="2"/>
      <c r="J166" s="2"/>
      <c r="K166" s="27"/>
      <c r="M166" s="25"/>
      <c r="N166" s="21"/>
      <c r="O166" s="16"/>
      <c r="P166" s="16"/>
      <c r="Q166" s="2"/>
      <c r="R166" s="2"/>
    </row>
    <row r="167">
      <c r="A167" s="16"/>
      <c r="B167" s="4"/>
      <c r="C167" s="2"/>
      <c r="D167" s="2"/>
      <c r="E167" s="2"/>
      <c r="F167" s="21"/>
      <c r="G167" s="4"/>
      <c r="H167" s="2"/>
      <c r="I167" s="2"/>
      <c r="K167" s="27"/>
      <c r="M167" s="28"/>
      <c r="N167" s="21"/>
      <c r="O167" s="16"/>
      <c r="P167" s="16"/>
    </row>
    <row r="168">
      <c r="A168" s="16"/>
      <c r="B168" s="4"/>
      <c r="C168" s="2"/>
      <c r="D168" s="2"/>
      <c r="E168" s="2"/>
      <c r="F168" s="21"/>
      <c r="G168" s="4"/>
      <c r="H168" s="2"/>
      <c r="I168" s="2"/>
      <c r="K168" s="27"/>
      <c r="M168" s="28"/>
      <c r="N168" s="21"/>
      <c r="O168" s="16"/>
      <c r="P168" s="16"/>
    </row>
    <row r="169">
      <c r="A169" s="16"/>
      <c r="B169" s="4"/>
      <c r="C169" s="2"/>
      <c r="D169" s="2"/>
      <c r="E169" s="2"/>
      <c r="F169" s="21"/>
      <c r="G169" s="4"/>
      <c r="H169" s="2"/>
      <c r="I169" s="2"/>
      <c r="K169" s="27"/>
      <c r="M169" s="28"/>
      <c r="N169" s="21"/>
      <c r="O169" s="16"/>
      <c r="P169" s="16"/>
    </row>
    <row r="170">
      <c r="A170" s="16"/>
      <c r="B170" s="4"/>
      <c r="C170" s="2"/>
      <c r="D170" s="2"/>
      <c r="E170" s="2"/>
      <c r="F170" s="21"/>
      <c r="G170" s="4"/>
      <c r="H170" s="2"/>
      <c r="I170" s="2"/>
      <c r="K170" s="27"/>
      <c r="M170" s="28"/>
      <c r="N170" s="21"/>
      <c r="O170" s="16"/>
      <c r="P170" s="16"/>
    </row>
    <row r="171">
      <c r="A171" s="16"/>
      <c r="B171" s="4"/>
      <c r="C171" s="2"/>
      <c r="D171" s="2"/>
      <c r="E171" s="2"/>
      <c r="F171" s="21"/>
      <c r="G171" s="4"/>
      <c r="H171" s="2"/>
      <c r="I171" s="2"/>
      <c r="K171" s="27"/>
      <c r="M171" s="28"/>
      <c r="N171" s="21"/>
      <c r="O171" s="16"/>
      <c r="P171" s="16"/>
    </row>
    <row r="172">
      <c r="A172" s="16"/>
      <c r="B172" s="4"/>
      <c r="C172" s="2"/>
      <c r="D172" s="2"/>
      <c r="E172" s="2"/>
      <c r="F172" s="21"/>
      <c r="G172" s="4"/>
      <c r="H172" s="2"/>
      <c r="I172" s="2"/>
      <c r="K172" s="27"/>
      <c r="M172" s="28"/>
      <c r="N172" s="21"/>
      <c r="O172" s="16"/>
      <c r="P172" s="16"/>
    </row>
    <row r="173">
      <c r="A173" s="16"/>
      <c r="B173" s="4"/>
      <c r="C173" s="2"/>
      <c r="D173" s="2"/>
      <c r="E173" s="2"/>
      <c r="F173" s="21"/>
      <c r="G173" s="4"/>
      <c r="H173" s="2"/>
      <c r="I173" s="2"/>
      <c r="K173" s="27"/>
      <c r="M173" s="28"/>
      <c r="N173" s="21"/>
      <c r="O173" s="16"/>
      <c r="P173" s="16"/>
    </row>
    <row r="174">
      <c r="A174" s="16"/>
      <c r="B174" s="4"/>
      <c r="C174" s="2"/>
      <c r="D174" s="2"/>
      <c r="E174" s="2"/>
      <c r="F174" s="21"/>
      <c r="G174" s="4"/>
      <c r="H174" s="2"/>
      <c r="I174" s="2"/>
      <c r="K174" s="27"/>
      <c r="M174" s="25"/>
      <c r="N174" s="21"/>
      <c r="O174" s="16"/>
      <c r="P174" s="16"/>
    </row>
    <row r="175">
      <c r="A175" s="16"/>
      <c r="B175" s="4"/>
      <c r="C175" s="2"/>
      <c r="D175" s="2"/>
      <c r="E175" s="2"/>
      <c r="F175" s="21"/>
      <c r="G175" s="4"/>
      <c r="H175" s="2"/>
      <c r="I175" s="2"/>
      <c r="K175" s="27"/>
      <c r="M175" s="25"/>
      <c r="N175" s="21"/>
      <c r="O175" s="16"/>
      <c r="P175" s="16"/>
    </row>
    <row r="176">
      <c r="A176" s="16"/>
      <c r="B176" s="4"/>
      <c r="C176" s="2"/>
      <c r="D176" s="2"/>
      <c r="E176" s="2"/>
      <c r="F176" s="21"/>
      <c r="G176" s="4"/>
      <c r="H176" s="2"/>
      <c r="I176" s="2"/>
      <c r="K176" s="27"/>
      <c r="M176" s="25"/>
      <c r="N176" s="21"/>
      <c r="O176" s="16"/>
      <c r="P176" s="16"/>
    </row>
    <row r="177">
      <c r="A177" s="16"/>
      <c r="B177" s="4"/>
      <c r="C177" s="2"/>
      <c r="D177" s="2"/>
      <c r="E177" s="2"/>
      <c r="F177" s="21"/>
      <c r="G177" s="4"/>
      <c r="H177" s="2"/>
      <c r="I177" s="2"/>
      <c r="K177" s="27"/>
      <c r="M177" s="25"/>
      <c r="N177" s="21"/>
      <c r="O177" s="16"/>
      <c r="P177" s="16"/>
    </row>
    <row r="178">
      <c r="A178" s="16"/>
      <c r="B178" s="4"/>
      <c r="C178" s="2"/>
      <c r="D178" s="2"/>
      <c r="E178" s="2"/>
      <c r="F178" s="21"/>
      <c r="G178" s="4"/>
      <c r="H178" s="2"/>
      <c r="I178" s="2"/>
      <c r="K178" s="27"/>
      <c r="M178" s="25"/>
      <c r="N178" s="21"/>
      <c r="O178" s="16"/>
      <c r="P178" s="16"/>
    </row>
    <row r="179">
      <c r="A179" s="16"/>
      <c r="B179" s="4"/>
      <c r="C179" s="2"/>
      <c r="D179" s="2"/>
      <c r="E179" s="2"/>
      <c r="F179" s="21"/>
      <c r="G179" s="4"/>
      <c r="H179" s="2"/>
      <c r="I179" s="2"/>
      <c r="K179" s="27"/>
      <c r="M179" s="25"/>
      <c r="N179" s="21"/>
      <c r="O179" s="16"/>
      <c r="P179" s="16"/>
    </row>
    <row r="180">
      <c r="A180" s="16"/>
      <c r="B180" s="4"/>
      <c r="C180" s="2"/>
      <c r="D180" s="2"/>
      <c r="E180" s="2"/>
      <c r="F180" s="21"/>
      <c r="G180" s="4"/>
      <c r="H180" s="2"/>
      <c r="I180" s="2"/>
      <c r="K180" s="27"/>
      <c r="M180" s="25"/>
      <c r="N180" s="21"/>
      <c r="O180" s="16"/>
      <c r="P180" s="16"/>
    </row>
    <row r="181">
      <c r="A181" s="16"/>
      <c r="B181" s="4"/>
      <c r="C181" s="2"/>
      <c r="D181" s="2"/>
      <c r="E181" s="2"/>
      <c r="F181" s="21"/>
      <c r="G181" s="4"/>
      <c r="H181" s="2"/>
      <c r="I181" s="2"/>
      <c r="K181" s="27"/>
      <c r="M181" s="25"/>
      <c r="N181" s="21"/>
      <c r="O181" s="16"/>
      <c r="P181" s="16"/>
    </row>
    <row r="182">
      <c r="A182" s="16"/>
      <c r="B182" s="4"/>
      <c r="C182" s="2"/>
      <c r="D182" s="2"/>
      <c r="E182" s="2"/>
      <c r="F182" s="21"/>
      <c r="G182" s="4"/>
      <c r="H182" s="2"/>
      <c r="I182" s="2"/>
      <c r="K182" s="27"/>
      <c r="M182" s="25"/>
      <c r="N182" s="21"/>
      <c r="O182" s="16"/>
      <c r="P182" s="16"/>
    </row>
    <row r="183">
      <c r="A183" s="16"/>
      <c r="B183" s="4"/>
      <c r="C183" s="2"/>
      <c r="D183" s="2"/>
      <c r="E183" s="2"/>
      <c r="F183" s="21"/>
      <c r="G183" s="4"/>
      <c r="H183" s="2"/>
      <c r="I183" s="2"/>
      <c r="K183" s="27"/>
      <c r="M183" s="25"/>
      <c r="N183" s="21"/>
      <c r="O183" s="16"/>
      <c r="P183" s="16"/>
    </row>
    <row r="184">
      <c r="A184" s="16"/>
      <c r="B184" s="4"/>
      <c r="C184" s="2"/>
      <c r="D184" s="2"/>
      <c r="E184" s="2"/>
      <c r="F184" s="21"/>
      <c r="G184" s="4"/>
      <c r="H184" s="2"/>
      <c r="I184" s="2"/>
      <c r="K184" s="27"/>
      <c r="M184" s="25"/>
      <c r="N184" s="21"/>
      <c r="O184" s="16"/>
      <c r="P184" s="16"/>
    </row>
    <row r="185">
      <c r="A185" s="16"/>
      <c r="B185" s="4"/>
      <c r="C185" s="2"/>
      <c r="D185" s="2"/>
      <c r="E185" s="2"/>
      <c r="F185" s="21"/>
      <c r="G185" s="4"/>
      <c r="H185" s="2"/>
      <c r="I185" s="2"/>
      <c r="K185" s="27"/>
      <c r="M185" s="25"/>
      <c r="N185" s="21"/>
      <c r="O185" s="16"/>
      <c r="P185" s="16"/>
    </row>
    <row r="186">
      <c r="A186" s="16"/>
      <c r="B186" s="4"/>
      <c r="C186" s="2"/>
      <c r="D186" s="2"/>
      <c r="E186" s="2"/>
      <c r="F186" s="21"/>
      <c r="G186" s="4"/>
      <c r="H186" s="2"/>
      <c r="I186" s="2"/>
      <c r="M186" s="28"/>
      <c r="O186" s="16"/>
      <c r="P186" s="16"/>
    </row>
    <row r="187">
      <c r="A187" s="16"/>
      <c r="B187" s="4"/>
      <c r="C187" s="2"/>
      <c r="D187" s="2"/>
      <c r="E187" s="2"/>
      <c r="F187" s="21"/>
      <c r="G187" s="4"/>
      <c r="H187" s="2"/>
      <c r="I187" s="2"/>
      <c r="M187" s="29"/>
      <c r="O187" s="16"/>
      <c r="P187" s="16"/>
    </row>
    <row r="188">
      <c r="A188" s="16"/>
      <c r="B188" s="4"/>
      <c r="C188" s="2"/>
      <c r="D188" s="2"/>
      <c r="E188" s="2"/>
      <c r="F188" s="21"/>
      <c r="G188" s="4"/>
      <c r="H188" s="2"/>
      <c r="I188" s="2"/>
      <c r="K188" s="27"/>
      <c r="M188" s="28"/>
      <c r="O188" s="16"/>
      <c r="P188" s="16"/>
    </row>
    <row r="189">
      <c r="A189" s="16"/>
      <c r="B189" s="4"/>
      <c r="C189" s="2"/>
      <c r="D189" s="2"/>
      <c r="E189" s="2"/>
      <c r="F189" s="21"/>
      <c r="G189" s="4"/>
      <c r="H189" s="2"/>
      <c r="I189" s="2"/>
      <c r="K189" s="27"/>
      <c r="M189" s="28"/>
      <c r="O189" s="16"/>
      <c r="P189" s="16"/>
    </row>
    <row r="190">
      <c r="A190" s="16"/>
      <c r="B190" s="4"/>
      <c r="C190" s="2"/>
      <c r="D190" s="2"/>
      <c r="E190" s="2"/>
      <c r="F190" s="21"/>
      <c r="G190" s="4"/>
      <c r="H190" s="2"/>
      <c r="I190" s="2"/>
      <c r="K190" s="27"/>
      <c r="M190" s="28"/>
      <c r="O190" s="16"/>
      <c r="P190" s="16"/>
    </row>
    <row r="191">
      <c r="A191" s="16"/>
      <c r="B191" s="4"/>
      <c r="C191" s="2"/>
      <c r="D191" s="2"/>
      <c r="E191" s="2"/>
      <c r="F191" s="21"/>
      <c r="G191" s="4"/>
      <c r="H191" s="2"/>
      <c r="I191" s="2"/>
      <c r="M191" s="28"/>
      <c r="O191" s="16"/>
      <c r="P191" s="16"/>
    </row>
    <row r="192">
      <c r="A192" s="16"/>
      <c r="B192" s="4"/>
      <c r="C192" s="2"/>
      <c r="D192" s="2"/>
      <c r="E192" s="2"/>
      <c r="F192" s="21"/>
      <c r="G192" s="4"/>
      <c r="H192" s="2"/>
      <c r="I192" s="2"/>
      <c r="M192" s="28"/>
      <c r="O192" s="16"/>
      <c r="P192" s="16"/>
    </row>
    <row r="193">
      <c r="A193" s="16"/>
      <c r="B193" s="4"/>
      <c r="C193" s="2"/>
      <c r="D193" s="2"/>
      <c r="E193" s="2"/>
      <c r="F193" s="21"/>
      <c r="G193" s="4"/>
      <c r="H193" s="2"/>
      <c r="I193" s="2"/>
      <c r="M193" s="28"/>
      <c r="O193" s="16"/>
      <c r="P193" s="16"/>
    </row>
    <row r="194">
      <c r="A194" s="16"/>
      <c r="B194" s="4"/>
      <c r="C194" s="2"/>
      <c r="D194" s="2"/>
      <c r="E194" s="2"/>
      <c r="F194" s="21"/>
      <c r="G194" s="4"/>
      <c r="H194" s="2"/>
      <c r="I194" s="2"/>
      <c r="M194" s="28"/>
      <c r="O194" s="16"/>
      <c r="P194" s="16"/>
    </row>
    <row r="195">
      <c r="A195" s="16"/>
      <c r="B195" s="4"/>
      <c r="C195" s="2"/>
      <c r="D195" s="2"/>
      <c r="E195" s="2"/>
      <c r="F195" s="21"/>
      <c r="G195" s="4"/>
      <c r="H195" s="2"/>
      <c r="I195" s="2"/>
      <c r="M195" s="28"/>
      <c r="O195" s="16"/>
      <c r="P195" s="16"/>
    </row>
    <row r="196">
      <c r="A196" s="16"/>
      <c r="B196" s="4"/>
      <c r="C196" s="2"/>
      <c r="D196" s="2"/>
      <c r="E196" s="2"/>
      <c r="F196" s="21"/>
      <c r="G196" s="4"/>
      <c r="H196" s="2"/>
      <c r="I196" s="2"/>
      <c r="M196" s="28"/>
      <c r="O196" s="16"/>
      <c r="P196" s="16"/>
    </row>
    <row r="197">
      <c r="A197" s="16"/>
      <c r="B197" s="4"/>
      <c r="C197" s="2"/>
      <c r="D197" s="2"/>
      <c r="E197" s="2"/>
      <c r="F197" s="21"/>
      <c r="G197" s="4"/>
      <c r="H197" s="2"/>
      <c r="I197" s="2"/>
      <c r="M197" s="28"/>
      <c r="O197" s="16"/>
      <c r="P197" s="16"/>
    </row>
    <row r="198">
      <c r="A198" s="16"/>
      <c r="B198" s="4"/>
      <c r="C198" s="2"/>
      <c r="D198" s="2"/>
      <c r="E198" s="2"/>
      <c r="F198" s="21"/>
      <c r="G198" s="4"/>
      <c r="H198" s="2"/>
      <c r="I198" s="2"/>
      <c r="M198" s="28"/>
      <c r="O198" s="16"/>
      <c r="P198" s="16"/>
    </row>
    <row r="199">
      <c r="A199" s="16"/>
      <c r="B199" s="4"/>
      <c r="C199" s="2"/>
      <c r="D199" s="2"/>
      <c r="E199" s="2"/>
      <c r="F199" s="21"/>
      <c r="G199" s="4"/>
      <c r="H199" s="2"/>
      <c r="I199" s="2"/>
      <c r="M199" s="29"/>
      <c r="O199" s="16"/>
      <c r="P199" s="16"/>
    </row>
    <row r="200">
      <c r="A200" s="16"/>
      <c r="B200" s="4"/>
      <c r="C200" s="2"/>
      <c r="D200" s="2"/>
      <c r="E200" s="2"/>
      <c r="F200" s="21"/>
      <c r="G200" s="4"/>
      <c r="H200" s="2"/>
      <c r="I200" s="2"/>
      <c r="M200" s="28"/>
      <c r="O200" s="16"/>
      <c r="P200" s="16"/>
    </row>
    <row r="201">
      <c r="A201" s="16"/>
      <c r="B201" s="4"/>
      <c r="C201" s="2"/>
      <c r="D201" s="2"/>
      <c r="E201" s="2"/>
      <c r="F201" s="21"/>
      <c r="G201" s="4"/>
      <c r="H201" s="2"/>
      <c r="I201" s="2"/>
      <c r="M201" s="28"/>
      <c r="O201" s="16"/>
      <c r="P201" s="16"/>
    </row>
    <row r="202">
      <c r="A202" s="16"/>
      <c r="B202" s="4"/>
      <c r="C202" s="2"/>
      <c r="D202" s="2"/>
      <c r="E202" s="2"/>
      <c r="F202" s="21"/>
      <c r="G202" s="4"/>
      <c r="H202" s="2"/>
      <c r="I202" s="2"/>
      <c r="M202" s="28"/>
      <c r="O202" s="16"/>
      <c r="P202" s="16"/>
    </row>
    <row r="203">
      <c r="A203" s="16"/>
      <c r="B203" s="4"/>
      <c r="C203" s="2"/>
      <c r="D203" s="2"/>
      <c r="E203" s="2"/>
      <c r="F203" s="21"/>
      <c r="G203" s="4"/>
      <c r="H203" s="2"/>
      <c r="I203" s="2"/>
      <c r="M203" s="28"/>
      <c r="O203" s="16"/>
      <c r="P203" s="16"/>
    </row>
    <row r="204">
      <c r="A204" s="16"/>
      <c r="B204" s="4"/>
      <c r="C204" s="2"/>
      <c r="D204" s="2"/>
      <c r="E204" s="2"/>
      <c r="F204" s="21"/>
      <c r="G204" s="4"/>
      <c r="H204" s="2"/>
      <c r="I204" s="2"/>
      <c r="M204" s="29"/>
      <c r="O204" s="16"/>
      <c r="P204" s="16"/>
    </row>
    <row r="205">
      <c r="A205" s="16"/>
      <c r="B205" s="4"/>
      <c r="C205" s="2"/>
      <c r="D205" s="2"/>
      <c r="E205" s="2"/>
      <c r="F205" s="21"/>
      <c r="G205" s="4"/>
      <c r="H205" s="2"/>
      <c r="I205" s="2"/>
      <c r="M205" s="28"/>
      <c r="O205" s="16"/>
      <c r="P205" s="16"/>
    </row>
    <row r="206">
      <c r="A206" s="16"/>
      <c r="B206" s="4"/>
      <c r="C206" s="2"/>
      <c r="D206" s="2"/>
      <c r="E206" s="2"/>
      <c r="F206" s="21"/>
      <c r="G206" s="4"/>
      <c r="H206" s="2"/>
      <c r="I206" s="2"/>
      <c r="M206" s="28"/>
      <c r="O206" s="16"/>
      <c r="P206" s="16"/>
    </row>
    <row r="207">
      <c r="A207" s="16"/>
      <c r="B207" s="4"/>
      <c r="C207" s="2"/>
      <c r="D207" s="2"/>
      <c r="E207" s="2"/>
      <c r="F207" s="21"/>
      <c r="G207" s="4"/>
      <c r="H207" s="2"/>
      <c r="I207" s="2"/>
      <c r="M207" s="29"/>
      <c r="O207" s="16"/>
      <c r="P207" s="16"/>
    </row>
    <row r="208">
      <c r="A208" s="16"/>
      <c r="B208" s="4"/>
      <c r="C208" s="2"/>
      <c r="D208" s="2"/>
      <c r="E208" s="2"/>
      <c r="F208" s="21"/>
      <c r="G208" s="4"/>
      <c r="H208" s="2"/>
      <c r="I208" s="2"/>
      <c r="M208" s="29"/>
      <c r="O208" s="16"/>
      <c r="P208" s="16"/>
    </row>
    <row r="209">
      <c r="A209" s="16"/>
      <c r="B209" s="4"/>
      <c r="C209" s="2"/>
      <c r="D209" s="2"/>
      <c r="E209" s="2"/>
      <c r="F209" s="21"/>
      <c r="G209" s="4"/>
      <c r="H209" s="2"/>
      <c r="I209" s="2"/>
      <c r="M209" s="29"/>
      <c r="O209" s="16"/>
      <c r="P209" s="16"/>
    </row>
    <row r="210">
      <c r="A210" s="16"/>
      <c r="B210" s="4"/>
      <c r="C210" s="2"/>
      <c r="D210" s="2"/>
      <c r="E210" s="2"/>
      <c r="F210" s="21"/>
      <c r="G210" s="4"/>
      <c r="H210" s="2"/>
      <c r="I210" s="2"/>
      <c r="M210" s="29"/>
      <c r="O210" s="16"/>
      <c r="P210" s="16"/>
    </row>
    <row r="211">
      <c r="A211" s="16"/>
      <c r="B211" s="4"/>
      <c r="C211" s="2"/>
      <c r="D211" s="2"/>
      <c r="E211" s="2"/>
      <c r="F211" s="21"/>
      <c r="G211" s="4"/>
      <c r="H211" s="2"/>
      <c r="I211" s="2"/>
      <c r="M211" s="29"/>
      <c r="O211" s="16"/>
      <c r="P211" s="16"/>
    </row>
    <row r="212">
      <c r="A212" s="16"/>
      <c r="B212" s="4"/>
      <c r="C212" s="2"/>
      <c r="D212" s="2"/>
      <c r="E212" s="2"/>
      <c r="F212" s="21"/>
      <c r="G212" s="4"/>
      <c r="H212" s="2"/>
      <c r="I212" s="2"/>
      <c r="M212" s="28"/>
      <c r="O212" s="16"/>
      <c r="P212" s="16"/>
    </row>
    <row r="213">
      <c r="A213" s="16"/>
      <c r="B213" s="4"/>
      <c r="C213" s="2"/>
      <c r="D213" s="2"/>
      <c r="E213" s="2"/>
      <c r="F213" s="21"/>
      <c r="G213" s="4"/>
      <c r="H213" s="2"/>
      <c r="I213" s="2"/>
      <c r="M213" s="29"/>
      <c r="O213" s="16"/>
      <c r="P213" s="16"/>
    </row>
    <row r="214">
      <c r="A214" s="16"/>
      <c r="B214" s="4"/>
      <c r="C214" s="2"/>
      <c r="D214" s="2"/>
      <c r="E214" s="2"/>
      <c r="F214" s="21"/>
      <c r="G214" s="4"/>
      <c r="H214" s="2"/>
      <c r="I214" s="2"/>
      <c r="M214" s="29"/>
      <c r="O214" s="16"/>
      <c r="P214" s="16"/>
    </row>
    <row r="215">
      <c r="A215" s="16"/>
      <c r="B215" s="4"/>
      <c r="C215" s="2"/>
      <c r="D215" s="2"/>
      <c r="E215" s="2"/>
      <c r="F215" s="21"/>
      <c r="G215" s="4"/>
      <c r="H215" s="2"/>
      <c r="I215" s="2"/>
      <c r="M215" s="28"/>
      <c r="O215" s="16"/>
      <c r="P215" s="16"/>
    </row>
    <row r="216">
      <c r="A216" s="16"/>
      <c r="B216" s="4"/>
      <c r="C216" s="2"/>
      <c r="D216" s="2"/>
      <c r="E216" s="2"/>
      <c r="F216" s="21"/>
      <c r="G216" s="4"/>
      <c r="H216" s="2"/>
      <c r="I216" s="2"/>
      <c r="M216" s="29"/>
      <c r="O216" s="16"/>
      <c r="P216" s="16"/>
    </row>
    <row r="217">
      <c r="A217" s="16"/>
      <c r="B217" s="4"/>
      <c r="C217" s="2"/>
      <c r="D217" s="2"/>
      <c r="E217" s="2"/>
      <c r="F217" s="21"/>
      <c r="G217" s="4"/>
      <c r="H217" s="2"/>
      <c r="I217" s="2"/>
      <c r="M217" s="29"/>
      <c r="O217" s="16"/>
      <c r="P217" s="16"/>
    </row>
    <row r="218">
      <c r="A218" s="16"/>
      <c r="B218" s="4"/>
      <c r="C218" s="2"/>
      <c r="D218" s="2"/>
      <c r="E218" s="2"/>
      <c r="F218" s="21"/>
      <c r="G218" s="4"/>
      <c r="H218" s="2"/>
      <c r="I218" s="2"/>
      <c r="M218" s="29"/>
      <c r="O218" s="16"/>
      <c r="P218" s="16"/>
    </row>
    <row r="219">
      <c r="A219" s="16"/>
      <c r="B219" s="4"/>
      <c r="C219" s="2"/>
      <c r="D219" s="2"/>
      <c r="E219" s="2"/>
      <c r="F219" s="21"/>
      <c r="G219" s="4"/>
      <c r="H219" s="2"/>
      <c r="I219" s="2"/>
      <c r="M219" s="29"/>
      <c r="O219" s="16"/>
      <c r="P219" s="16"/>
    </row>
    <row r="220">
      <c r="A220" s="16"/>
      <c r="B220" s="4"/>
      <c r="C220" s="2"/>
      <c r="D220" s="2"/>
      <c r="E220" s="2"/>
      <c r="F220" s="21"/>
      <c r="G220" s="4"/>
      <c r="H220" s="2"/>
      <c r="I220" s="2"/>
      <c r="L220" s="28"/>
      <c r="M220" s="29"/>
      <c r="O220" s="16"/>
      <c r="P220" s="16"/>
    </row>
    <row r="221">
      <c r="A221" s="16"/>
      <c r="B221" s="4"/>
      <c r="C221" s="2"/>
      <c r="D221" s="2"/>
      <c r="E221" s="2"/>
      <c r="F221" s="21"/>
      <c r="G221" s="4"/>
      <c r="H221" s="2"/>
      <c r="I221" s="2"/>
      <c r="L221" s="28"/>
      <c r="M221" s="28"/>
      <c r="O221" s="16"/>
      <c r="P221" s="16"/>
    </row>
    <row r="222">
      <c r="A222" s="16"/>
      <c r="B222" s="4"/>
      <c r="C222" s="2"/>
      <c r="D222" s="2"/>
      <c r="E222" s="2"/>
      <c r="F222" s="21"/>
      <c r="G222" s="4"/>
      <c r="H222" s="2"/>
      <c r="I222" s="2"/>
      <c r="L222" s="28"/>
      <c r="M222" s="29"/>
      <c r="O222" s="16"/>
      <c r="P222" s="16"/>
    </row>
    <row r="223">
      <c r="A223" s="16"/>
      <c r="B223" s="4"/>
      <c r="C223" s="2"/>
      <c r="D223" s="2"/>
      <c r="E223" s="2"/>
      <c r="F223" s="21"/>
      <c r="G223" s="4"/>
      <c r="H223" s="2"/>
      <c r="I223" s="2"/>
      <c r="L223" s="28"/>
      <c r="M223" s="29"/>
      <c r="O223" s="16"/>
      <c r="P223" s="16"/>
    </row>
    <row r="224">
      <c r="A224" s="16"/>
      <c r="B224" s="4"/>
      <c r="C224" s="2"/>
      <c r="D224" s="2"/>
      <c r="E224" s="2"/>
      <c r="F224" s="21"/>
      <c r="G224" s="4"/>
      <c r="H224" s="2"/>
      <c r="I224" s="2"/>
      <c r="L224" s="28"/>
      <c r="M224" s="29"/>
      <c r="O224" s="16"/>
      <c r="P224" s="16"/>
    </row>
    <row r="225">
      <c r="A225" s="16"/>
      <c r="B225" s="4"/>
      <c r="C225" s="2"/>
      <c r="D225" s="2"/>
      <c r="E225" s="2"/>
      <c r="F225" s="21"/>
      <c r="G225" s="4"/>
      <c r="H225" s="2"/>
      <c r="I225" s="2"/>
      <c r="L225" s="28"/>
      <c r="M225" s="29"/>
      <c r="O225" s="16"/>
      <c r="P225" s="16"/>
    </row>
    <row r="226">
      <c r="A226" s="16"/>
      <c r="B226" s="4"/>
      <c r="C226" s="2"/>
      <c r="D226" s="2"/>
      <c r="E226" s="2"/>
      <c r="F226" s="21"/>
      <c r="G226" s="4"/>
      <c r="H226" s="2"/>
      <c r="I226" s="2"/>
      <c r="L226" s="28"/>
      <c r="M226" s="29"/>
      <c r="O226" s="16"/>
      <c r="P226" s="16"/>
    </row>
    <row r="227">
      <c r="A227" s="16"/>
      <c r="B227" s="4"/>
      <c r="C227" s="2"/>
      <c r="D227" s="2"/>
      <c r="E227" s="2"/>
      <c r="F227" s="21"/>
      <c r="G227" s="4"/>
      <c r="H227" s="2"/>
      <c r="I227" s="2"/>
      <c r="L227" s="28"/>
      <c r="M227" s="30"/>
      <c r="O227" s="16"/>
      <c r="P227" s="16"/>
    </row>
    <row r="228">
      <c r="A228" s="16"/>
      <c r="B228" s="4"/>
      <c r="C228" s="2"/>
      <c r="D228" s="2"/>
      <c r="E228" s="2"/>
      <c r="F228" s="21"/>
      <c r="G228" s="4"/>
      <c r="H228" s="2"/>
      <c r="I228" s="2"/>
      <c r="L228" s="28"/>
      <c r="M228" s="28"/>
      <c r="O228" s="16"/>
      <c r="P228" s="16"/>
    </row>
    <row r="229">
      <c r="A229" s="16"/>
      <c r="B229" s="4"/>
      <c r="C229" s="2"/>
      <c r="D229" s="2"/>
      <c r="E229" s="2"/>
      <c r="F229" s="21"/>
      <c r="G229" s="4"/>
      <c r="H229" s="2"/>
      <c r="I229" s="2"/>
      <c r="L229" s="28"/>
      <c r="M229" s="28"/>
      <c r="O229" s="16"/>
      <c r="P229" s="16"/>
    </row>
    <row r="230">
      <c r="A230" s="16"/>
      <c r="B230" s="4"/>
      <c r="C230" s="2"/>
      <c r="D230" s="2"/>
      <c r="E230" s="2"/>
      <c r="F230" s="21"/>
      <c r="G230" s="4"/>
      <c r="H230" s="2"/>
      <c r="I230" s="2"/>
      <c r="L230" s="28"/>
      <c r="M230" s="28"/>
      <c r="O230" s="16"/>
      <c r="P230" s="16"/>
    </row>
    <row r="231">
      <c r="A231" s="16"/>
      <c r="B231" s="4"/>
      <c r="C231" s="2"/>
      <c r="D231" s="2"/>
      <c r="E231" s="2"/>
      <c r="F231" s="21"/>
      <c r="G231" s="4"/>
      <c r="H231" s="2"/>
      <c r="I231" s="2"/>
      <c r="L231" s="28"/>
      <c r="M231" s="28"/>
      <c r="O231" s="16"/>
      <c r="P231" s="16"/>
    </row>
    <row r="232">
      <c r="A232" s="16"/>
      <c r="B232" s="4"/>
      <c r="C232" s="2"/>
      <c r="D232" s="2"/>
      <c r="E232" s="2"/>
      <c r="F232" s="21"/>
      <c r="G232" s="4"/>
      <c r="H232" s="2"/>
      <c r="I232" s="2"/>
      <c r="L232" s="28"/>
      <c r="M232" s="28"/>
      <c r="O232" s="16"/>
      <c r="P232" s="16"/>
    </row>
    <row r="233">
      <c r="A233" s="16"/>
      <c r="B233" s="4"/>
      <c r="C233" s="2"/>
      <c r="D233" s="2"/>
      <c r="E233" s="2"/>
      <c r="F233" s="21"/>
      <c r="G233" s="4"/>
      <c r="H233" s="2"/>
      <c r="I233" s="2"/>
      <c r="L233" s="28"/>
      <c r="M233" s="28"/>
      <c r="O233" s="16"/>
      <c r="P233" s="16"/>
    </row>
    <row r="234">
      <c r="A234" s="16"/>
      <c r="B234" s="4"/>
      <c r="C234" s="2"/>
      <c r="D234" s="2"/>
      <c r="E234" s="2"/>
      <c r="F234" s="21"/>
      <c r="G234" s="4"/>
      <c r="H234" s="2"/>
      <c r="I234" s="2"/>
      <c r="M234" s="28"/>
    </row>
    <row r="235">
      <c r="A235" s="16"/>
      <c r="B235" s="4"/>
      <c r="C235" s="2"/>
      <c r="D235" s="2"/>
      <c r="E235" s="2"/>
      <c r="F235" s="21"/>
      <c r="G235" s="4"/>
      <c r="H235" s="2"/>
      <c r="I235" s="2"/>
      <c r="M235" s="28"/>
    </row>
    <row r="236">
      <c r="A236" s="16"/>
      <c r="B236" s="4"/>
      <c r="C236" s="2"/>
      <c r="D236" s="2"/>
      <c r="E236" s="2"/>
      <c r="F236" s="21"/>
      <c r="G236" s="4"/>
      <c r="H236" s="2"/>
      <c r="I236" s="2"/>
      <c r="M236" s="28"/>
    </row>
    <row r="237">
      <c r="A237" s="16"/>
      <c r="B237" s="4"/>
      <c r="C237" s="2"/>
      <c r="D237" s="2"/>
      <c r="E237" s="2"/>
      <c r="F237" s="21"/>
      <c r="G237" s="4"/>
      <c r="H237" s="2"/>
      <c r="I237" s="2"/>
      <c r="M237" s="28"/>
    </row>
    <row r="238">
      <c r="A238" s="16"/>
      <c r="B238" s="4"/>
      <c r="C238" s="2"/>
      <c r="D238" s="2"/>
      <c r="E238" s="2"/>
      <c r="F238" s="21"/>
      <c r="G238" s="4"/>
      <c r="H238" s="2"/>
      <c r="I238" s="2"/>
      <c r="M238" s="28"/>
    </row>
    <row r="239">
      <c r="A239" s="16"/>
      <c r="B239" s="4"/>
      <c r="C239" s="2"/>
      <c r="D239" s="2"/>
      <c r="E239" s="2"/>
      <c r="F239" s="21"/>
      <c r="G239" s="4"/>
      <c r="H239" s="2"/>
      <c r="I239" s="2"/>
      <c r="M239" s="28"/>
    </row>
    <row r="240">
      <c r="A240" s="16"/>
      <c r="B240" s="4"/>
      <c r="C240" s="2"/>
      <c r="D240" s="2"/>
      <c r="E240" s="2"/>
      <c r="F240" s="21"/>
      <c r="G240" s="4"/>
      <c r="H240" s="2"/>
      <c r="I240" s="2"/>
      <c r="M240" s="28"/>
    </row>
    <row r="241">
      <c r="A241" s="16"/>
      <c r="B241" s="4"/>
      <c r="C241" s="2"/>
      <c r="D241" s="2"/>
      <c r="E241" s="2"/>
      <c r="F241" s="21"/>
      <c r="G241" s="4"/>
      <c r="H241" s="2"/>
      <c r="I241" s="2"/>
      <c r="M241" s="28"/>
    </row>
    <row r="242">
      <c r="A242" s="16"/>
      <c r="B242" s="4"/>
      <c r="C242" s="2"/>
      <c r="D242" s="2"/>
      <c r="E242" s="2"/>
      <c r="F242" s="21"/>
      <c r="G242" s="4"/>
      <c r="H242" s="2"/>
      <c r="I242" s="2"/>
      <c r="M242" s="28"/>
    </row>
    <row r="243">
      <c r="A243" s="16"/>
      <c r="B243" s="4"/>
      <c r="C243" s="2"/>
      <c r="D243" s="2"/>
      <c r="E243" s="2"/>
      <c r="F243" s="21"/>
      <c r="G243" s="4"/>
      <c r="H243" s="2"/>
      <c r="I243" s="2"/>
      <c r="M243" s="28"/>
    </row>
    <row r="244">
      <c r="A244" s="16"/>
      <c r="B244" s="4"/>
      <c r="C244" s="2"/>
      <c r="D244" s="2"/>
      <c r="E244" s="2"/>
      <c r="F244" s="21"/>
      <c r="G244" s="4"/>
      <c r="H244" s="2"/>
      <c r="I244" s="2"/>
      <c r="M244" s="28"/>
    </row>
    <row r="245" ht="13.5" customHeight="1">
      <c r="A245" s="16"/>
      <c r="B245" s="4"/>
      <c r="C245" s="2"/>
      <c r="D245" s="2"/>
      <c r="E245" s="2"/>
      <c r="F245" s="21"/>
      <c r="G245" s="4"/>
      <c r="H245" s="2"/>
      <c r="I245" s="2"/>
      <c r="M245" s="28"/>
    </row>
    <row r="246">
      <c r="A246" s="16"/>
      <c r="B246" s="4"/>
      <c r="C246" s="2"/>
      <c r="D246" s="2"/>
      <c r="E246" s="2"/>
      <c r="F246" s="21"/>
      <c r="G246" s="4"/>
      <c r="H246" s="2"/>
      <c r="I246" s="2"/>
    </row>
    <row r="247">
      <c r="A247" s="16"/>
      <c r="B247" s="4"/>
      <c r="C247" s="2"/>
      <c r="D247" s="2"/>
      <c r="E247" s="2"/>
      <c r="F247" s="21"/>
      <c r="G247" s="4"/>
      <c r="H247" s="2"/>
      <c r="I247" s="2"/>
    </row>
    <row r="248">
      <c r="A248" s="16"/>
      <c r="B248" s="4"/>
      <c r="C248" s="2"/>
      <c r="D248" s="2"/>
      <c r="E248" s="2"/>
      <c r="F248" s="21"/>
      <c r="G248" s="4"/>
      <c r="H248" s="2"/>
      <c r="I248" s="2"/>
    </row>
    <row r="249">
      <c r="A249" s="16"/>
      <c r="B249" s="4"/>
      <c r="C249" s="2"/>
      <c r="D249" s="2"/>
      <c r="E249" s="2"/>
      <c r="F249" s="21"/>
      <c r="G249" s="4"/>
      <c r="H249" s="2"/>
      <c r="I249" s="2"/>
    </row>
    <row r="250">
      <c r="A250" s="16"/>
      <c r="B250" s="4"/>
      <c r="C250" s="2"/>
      <c r="D250" s="2"/>
      <c r="E250" s="2"/>
      <c r="F250" s="21"/>
      <c r="G250" s="4"/>
      <c r="H250" s="2"/>
      <c r="I250" s="2"/>
    </row>
    <row r="251">
      <c r="A251" s="16"/>
      <c r="B251" s="4"/>
      <c r="C251" s="2"/>
      <c r="D251" s="2"/>
      <c r="E251" s="2"/>
      <c r="F251" s="21"/>
      <c r="G251" s="4"/>
      <c r="H251" s="2"/>
      <c r="I251" s="2"/>
    </row>
    <row r="252">
      <c r="A252" s="16"/>
      <c r="B252" s="4"/>
      <c r="C252" s="2"/>
      <c r="D252" s="2"/>
      <c r="E252" s="2"/>
      <c r="F252" s="21"/>
      <c r="G252" s="4"/>
      <c r="H252" s="2"/>
      <c r="I252" s="2"/>
    </row>
    <row r="253">
      <c r="A253" s="16"/>
      <c r="B253" s="4"/>
      <c r="C253" s="2"/>
      <c r="D253" s="2"/>
      <c r="E253" s="2"/>
      <c r="F253" s="21"/>
      <c r="G253" s="4"/>
      <c r="H253" s="2"/>
      <c r="I253" s="2"/>
    </row>
    <row r="254">
      <c r="A254" s="16"/>
      <c r="B254" s="4"/>
      <c r="C254" s="2"/>
      <c r="D254" s="2"/>
      <c r="E254" s="2"/>
      <c r="F254" s="21"/>
      <c r="G254" s="4"/>
      <c r="H254" s="2"/>
      <c r="I254" s="2"/>
    </row>
    <row r="255">
      <c r="A255" s="16"/>
      <c r="B255" s="4"/>
      <c r="C255" s="2"/>
      <c r="D255" s="2"/>
      <c r="E255" s="2"/>
      <c r="F255" s="21"/>
      <c r="G255" s="4"/>
      <c r="H255" s="2"/>
      <c r="I255" s="2"/>
    </row>
    <row r="256">
      <c r="A256" s="16"/>
      <c r="B256" s="4"/>
      <c r="C256" s="2"/>
      <c r="D256" s="2"/>
      <c r="E256" s="2"/>
      <c r="F256" s="21"/>
      <c r="G256" s="4"/>
      <c r="H256" s="2"/>
      <c r="I256" s="2"/>
    </row>
    <row r="257">
      <c r="A257" s="16"/>
      <c r="B257" s="4"/>
      <c r="C257" s="2"/>
      <c r="D257" s="2"/>
      <c r="E257" s="2"/>
      <c r="F257" s="21"/>
      <c r="G257" s="4"/>
      <c r="H257" s="2"/>
      <c r="I257" s="2"/>
    </row>
    <row r="258">
      <c r="A258" s="16"/>
      <c r="B258" s="4"/>
      <c r="C258" s="2"/>
      <c r="D258" s="2"/>
      <c r="E258" s="2"/>
      <c r="F258" s="21"/>
      <c r="G258" s="4"/>
      <c r="H258" s="2"/>
      <c r="I258" s="2"/>
    </row>
    <row r="259">
      <c r="A259" s="16"/>
      <c r="B259" s="4"/>
      <c r="C259" s="2"/>
      <c r="D259" s="2"/>
      <c r="E259" s="2"/>
      <c r="F259" s="21"/>
      <c r="G259" s="4"/>
      <c r="H259" s="2"/>
      <c r="I259" s="2"/>
      <c r="M259" s="28"/>
    </row>
    <row r="260">
      <c r="A260" s="16"/>
      <c r="B260" s="4"/>
      <c r="C260" s="2"/>
      <c r="D260" s="2"/>
      <c r="E260" s="2"/>
      <c r="F260" s="21"/>
      <c r="G260" s="4"/>
      <c r="H260" s="2"/>
      <c r="I260" s="2"/>
      <c r="M260" s="28"/>
    </row>
    <row r="261">
      <c r="A261" s="16"/>
      <c r="B261" s="4"/>
      <c r="C261" s="2"/>
      <c r="D261" s="2"/>
      <c r="E261" s="2"/>
      <c r="F261" s="21"/>
      <c r="G261" s="4"/>
      <c r="H261" s="2"/>
      <c r="I261" s="2"/>
      <c r="M261" s="28"/>
    </row>
    <row r="262">
      <c r="A262" s="16"/>
      <c r="B262" s="4"/>
      <c r="C262" s="2"/>
      <c r="D262" s="2"/>
      <c r="E262" s="2"/>
      <c r="F262" s="21"/>
      <c r="G262" s="4"/>
      <c r="H262" s="2"/>
      <c r="I262" s="2"/>
      <c r="M262" s="28"/>
    </row>
    <row r="263">
      <c r="A263" s="16"/>
      <c r="B263" s="4"/>
      <c r="C263" s="2"/>
      <c r="D263" s="2"/>
      <c r="E263" s="2"/>
      <c r="F263" s="21"/>
      <c r="G263" s="4"/>
      <c r="H263" s="2"/>
      <c r="I263" s="2"/>
      <c r="M263" s="28"/>
    </row>
    <row r="264">
      <c r="A264" s="16"/>
      <c r="B264" s="4"/>
      <c r="C264" s="2"/>
      <c r="D264" s="2"/>
      <c r="E264" s="2"/>
      <c r="F264" s="21"/>
      <c r="G264" s="4"/>
      <c r="H264" s="2"/>
      <c r="I264" s="2"/>
      <c r="M264" s="28"/>
    </row>
    <row r="265">
      <c r="A265" s="16"/>
      <c r="B265" s="4"/>
      <c r="C265" s="2"/>
      <c r="D265" s="2"/>
      <c r="E265" s="2"/>
      <c r="F265" s="21"/>
      <c r="G265" s="4"/>
      <c r="H265" s="2"/>
      <c r="I265" s="2"/>
      <c r="M265" s="28"/>
    </row>
    <row r="266">
      <c r="A266" s="16"/>
      <c r="B266" s="4"/>
      <c r="C266" s="2"/>
      <c r="D266" s="2"/>
      <c r="E266" s="2"/>
      <c r="F266" s="21"/>
      <c r="G266" s="4"/>
      <c r="H266" s="2"/>
      <c r="I266" s="2"/>
      <c r="M266" s="28"/>
    </row>
    <row r="267">
      <c r="A267" s="16"/>
      <c r="B267" s="4"/>
      <c r="C267" s="2"/>
      <c r="D267" s="2"/>
      <c r="E267" s="2"/>
      <c r="F267" s="21"/>
      <c r="G267" s="4"/>
      <c r="H267" s="2"/>
      <c r="I267" s="2"/>
      <c r="M267" s="28"/>
    </row>
    <row r="268">
      <c r="A268" s="16"/>
      <c r="B268" s="4"/>
      <c r="C268" s="2"/>
      <c r="D268" s="2"/>
      <c r="E268" s="2"/>
      <c r="F268" s="21"/>
      <c r="G268" s="4"/>
      <c r="H268" s="2"/>
      <c r="I268" s="2"/>
      <c r="M268" s="28"/>
    </row>
    <row r="269">
      <c r="A269" s="16"/>
      <c r="B269" s="4"/>
      <c r="C269" s="2"/>
      <c r="D269" s="2"/>
      <c r="E269" s="2"/>
      <c r="F269" s="21"/>
      <c r="G269" s="4"/>
      <c r="H269" s="2"/>
      <c r="I269" s="2"/>
      <c r="M269" s="28"/>
    </row>
    <row r="270">
      <c r="A270" s="16"/>
      <c r="B270" s="4"/>
      <c r="C270" s="2"/>
      <c r="D270" s="2"/>
      <c r="E270" s="2"/>
      <c r="F270" s="21"/>
      <c r="G270" s="4"/>
      <c r="H270" s="2"/>
      <c r="I270" s="2"/>
      <c r="M270" s="28"/>
    </row>
    <row r="271">
      <c r="A271" s="16"/>
      <c r="B271" s="4"/>
      <c r="C271" s="2"/>
      <c r="D271" s="2"/>
      <c r="E271" s="2"/>
      <c r="F271" s="21"/>
      <c r="G271" s="4"/>
      <c r="H271" s="2"/>
      <c r="I271" s="2"/>
      <c r="M271" s="28"/>
    </row>
    <row r="272">
      <c r="A272" s="16"/>
      <c r="B272" s="4"/>
      <c r="C272" s="2"/>
      <c r="D272" s="2"/>
      <c r="E272" s="2"/>
      <c r="F272" s="21"/>
      <c r="G272" s="4"/>
      <c r="H272" s="2"/>
      <c r="I272" s="2"/>
      <c r="M272" s="28"/>
    </row>
    <row r="273">
      <c r="A273" s="16"/>
      <c r="B273" s="4"/>
      <c r="C273" s="2"/>
      <c r="D273" s="2"/>
      <c r="E273" s="2"/>
      <c r="F273" s="21"/>
      <c r="G273" s="4"/>
      <c r="H273" s="2"/>
      <c r="I273" s="2"/>
      <c r="M273" s="28"/>
    </row>
    <row r="274">
      <c r="A274" s="16"/>
      <c r="B274" s="4"/>
      <c r="C274" s="2"/>
      <c r="D274" s="2"/>
      <c r="E274" s="2"/>
      <c r="F274" s="21"/>
      <c r="G274" s="4"/>
      <c r="H274" s="2"/>
      <c r="I274" s="2"/>
      <c r="M274" s="28"/>
    </row>
    <row r="275">
      <c r="A275" s="16"/>
      <c r="B275" s="4"/>
      <c r="C275" s="2"/>
      <c r="D275" s="2"/>
      <c r="E275" s="2"/>
      <c r="F275" s="21"/>
      <c r="G275" s="4"/>
      <c r="H275" s="2"/>
      <c r="I275" s="2"/>
      <c r="M275" s="28"/>
    </row>
    <row r="276">
      <c r="A276" s="16"/>
      <c r="B276" s="4"/>
      <c r="C276" s="2"/>
      <c r="D276" s="2"/>
      <c r="E276" s="2"/>
      <c r="F276" s="21"/>
      <c r="G276" s="4"/>
      <c r="H276" s="2"/>
      <c r="I276" s="2"/>
      <c r="M276" s="28"/>
    </row>
    <row r="277">
      <c r="A277" s="16"/>
      <c r="B277" s="4"/>
      <c r="C277" s="2"/>
      <c r="D277" s="2"/>
      <c r="E277" s="2"/>
      <c r="F277" s="21"/>
      <c r="G277" s="4"/>
      <c r="H277" s="2"/>
      <c r="I277" s="2"/>
      <c r="M277" s="28"/>
    </row>
    <row r="278">
      <c r="A278" s="16"/>
      <c r="B278" s="4"/>
      <c r="C278" s="2"/>
      <c r="D278" s="2"/>
      <c r="E278" s="2"/>
      <c r="F278" s="21"/>
      <c r="G278" s="4"/>
      <c r="H278" s="2"/>
      <c r="I278" s="2"/>
      <c r="M278" s="28"/>
    </row>
    <row r="279">
      <c r="A279" s="16"/>
      <c r="B279" s="4"/>
      <c r="C279" s="2"/>
      <c r="D279" s="2"/>
      <c r="E279" s="2"/>
      <c r="F279" s="21"/>
      <c r="G279" s="4"/>
      <c r="H279" s="2"/>
      <c r="I279" s="2"/>
      <c r="M279" s="28"/>
    </row>
    <row r="280">
      <c r="A280" s="16"/>
      <c r="B280" s="4"/>
      <c r="C280" s="2"/>
      <c r="D280" s="2"/>
      <c r="E280" s="2"/>
      <c r="F280" s="21"/>
      <c r="G280" s="4"/>
      <c r="H280" s="2"/>
      <c r="I280" s="2"/>
      <c r="M280" s="28"/>
    </row>
    <row r="281">
      <c r="A281" s="16"/>
      <c r="B281" s="4"/>
      <c r="C281" s="2"/>
      <c r="D281" s="2"/>
      <c r="E281" s="2"/>
      <c r="F281" s="21"/>
      <c r="G281" s="4"/>
      <c r="H281" s="2"/>
      <c r="I281" s="2"/>
      <c r="M281" s="28"/>
    </row>
    <row r="282">
      <c r="A282" s="16"/>
      <c r="B282" s="4"/>
      <c r="C282" s="2"/>
      <c r="D282" s="2"/>
      <c r="E282" s="2"/>
      <c r="F282" s="21"/>
      <c r="G282" s="4"/>
      <c r="H282" s="2"/>
      <c r="I282" s="2"/>
      <c r="M282" s="31"/>
    </row>
    <row r="283">
      <c r="A283" s="16"/>
      <c r="B283" s="4"/>
      <c r="C283" s="2"/>
      <c r="D283" s="2"/>
      <c r="E283" s="2"/>
      <c r="F283" s="21"/>
      <c r="G283" s="4"/>
      <c r="H283" s="2"/>
      <c r="I283" s="2"/>
      <c r="M283" s="28"/>
    </row>
    <row r="284">
      <c r="A284" s="16"/>
      <c r="B284" s="4"/>
      <c r="C284" s="2"/>
      <c r="D284" s="2"/>
      <c r="E284" s="2"/>
      <c r="F284" s="21"/>
      <c r="G284" s="4"/>
      <c r="H284" s="2"/>
      <c r="I284" s="2"/>
      <c r="M284" s="28"/>
    </row>
    <row r="285">
      <c r="A285" s="16"/>
      <c r="B285" s="4"/>
      <c r="C285" s="2"/>
      <c r="D285" s="2"/>
      <c r="E285" s="2"/>
      <c r="F285" s="21"/>
      <c r="G285" s="4"/>
      <c r="H285" s="2"/>
      <c r="I285" s="2"/>
      <c r="M285" s="28"/>
    </row>
    <row r="286">
      <c r="A286" s="16"/>
      <c r="B286" s="4"/>
      <c r="C286" s="2"/>
      <c r="D286" s="2"/>
      <c r="E286" s="2"/>
      <c r="F286" s="21"/>
      <c r="G286" s="4"/>
      <c r="H286" s="2"/>
      <c r="I286" s="2"/>
      <c r="M286" s="28"/>
    </row>
    <row r="287">
      <c r="A287" s="16"/>
      <c r="B287" s="4"/>
      <c r="C287" s="2"/>
      <c r="D287" s="2"/>
      <c r="E287" s="2"/>
      <c r="F287" s="21"/>
      <c r="G287" s="4"/>
      <c r="H287" s="2"/>
      <c r="I287" s="2"/>
      <c r="M287" s="28"/>
    </row>
    <row r="288">
      <c r="A288" s="16"/>
      <c r="B288" s="4"/>
      <c r="C288" s="2"/>
      <c r="D288" s="2"/>
      <c r="E288" s="2"/>
      <c r="F288" s="21"/>
      <c r="G288" s="4"/>
      <c r="H288" s="2"/>
      <c r="I288" s="2"/>
      <c r="M288" s="28"/>
    </row>
    <row r="289">
      <c r="A289" s="16"/>
      <c r="B289" s="4"/>
      <c r="C289" s="2"/>
      <c r="D289" s="2"/>
      <c r="E289" s="2"/>
      <c r="F289" s="21"/>
      <c r="G289" s="4"/>
      <c r="H289" s="2"/>
      <c r="I289" s="2"/>
      <c r="M289" s="28"/>
    </row>
    <row r="290">
      <c r="A290" s="16"/>
      <c r="B290" s="4"/>
      <c r="C290" s="2"/>
      <c r="D290" s="2"/>
      <c r="E290" s="2"/>
      <c r="F290" s="21"/>
      <c r="G290" s="4"/>
      <c r="H290" s="2"/>
      <c r="I290" s="2"/>
      <c r="M290" s="28"/>
    </row>
    <row r="291">
      <c r="A291" s="16"/>
      <c r="B291" s="4"/>
      <c r="C291" s="2"/>
      <c r="D291" s="2"/>
      <c r="E291" s="2"/>
      <c r="F291" s="21"/>
      <c r="G291" s="4"/>
      <c r="H291" s="2"/>
      <c r="I291" s="2"/>
      <c r="M291" s="28"/>
    </row>
    <row r="292">
      <c r="A292" s="16"/>
      <c r="B292" s="4"/>
      <c r="C292" s="2"/>
      <c r="D292" s="2"/>
      <c r="E292" s="2"/>
      <c r="F292" s="21"/>
      <c r="G292" s="4"/>
      <c r="H292" s="2"/>
      <c r="I292" s="2"/>
      <c r="M292" s="28"/>
    </row>
    <row r="293">
      <c r="A293" s="16"/>
      <c r="B293" s="4"/>
      <c r="C293" s="2"/>
      <c r="D293" s="2"/>
      <c r="E293" s="2"/>
      <c r="F293" s="21"/>
      <c r="G293" s="4"/>
      <c r="H293" s="2"/>
      <c r="I293" s="2"/>
      <c r="M293" s="28"/>
    </row>
    <row r="294">
      <c r="A294" s="16"/>
      <c r="B294" s="4"/>
      <c r="C294" s="2"/>
      <c r="D294" s="2"/>
      <c r="E294" s="2"/>
      <c r="F294" s="21"/>
      <c r="G294" s="4"/>
      <c r="H294" s="2"/>
      <c r="I294" s="2"/>
      <c r="M294" s="28"/>
    </row>
    <row r="295">
      <c r="A295" s="16"/>
      <c r="B295" s="4"/>
      <c r="C295" s="2"/>
      <c r="D295" s="2"/>
      <c r="E295" s="2"/>
      <c r="F295" s="21"/>
      <c r="G295" s="4"/>
      <c r="H295" s="2"/>
      <c r="I295" s="2"/>
      <c r="M295" s="28"/>
    </row>
    <row r="296">
      <c r="A296" s="16"/>
      <c r="B296" s="4"/>
      <c r="C296" s="2"/>
      <c r="D296" s="2"/>
      <c r="E296" s="2"/>
      <c r="F296" s="21"/>
      <c r="G296" s="4"/>
      <c r="H296" s="2"/>
      <c r="I296" s="2"/>
      <c r="M296" s="28"/>
    </row>
    <row r="297">
      <c r="A297" s="16"/>
      <c r="B297" s="4"/>
      <c r="C297" s="2"/>
      <c r="D297" s="2"/>
      <c r="E297" s="2"/>
      <c r="F297" s="21"/>
      <c r="G297" s="4"/>
      <c r="H297" s="2"/>
      <c r="I297" s="2"/>
      <c r="M297" s="28"/>
    </row>
    <row r="298">
      <c r="A298" s="16"/>
      <c r="B298" s="4"/>
      <c r="C298" s="2"/>
      <c r="D298" s="2"/>
      <c r="E298" s="2"/>
      <c r="F298" s="21"/>
      <c r="G298" s="4"/>
      <c r="H298" s="2"/>
      <c r="I298" s="2"/>
      <c r="M298" s="32"/>
    </row>
    <row r="299">
      <c r="A299" s="16"/>
      <c r="B299" s="4"/>
      <c r="C299" s="2"/>
      <c r="D299" s="2"/>
      <c r="E299" s="2"/>
      <c r="F299" s="21"/>
      <c r="G299" s="4"/>
      <c r="H299" s="2"/>
      <c r="I299" s="2"/>
      <c r="N299" s="33"/>
    </row>
    <row r="300">
      <c r="A300" s="16"/>
      <c r="B300" s="4"/>
      <c r="C300" s="2"/>
      <c r="D300" s="2"/>
      <c r="E300" s="2"/>
      <c r="F300" s="21"/>
      <c r="G300" s="4"/>
      <c r="H300" s="2"/>
      <c r="I300" s="2"/>
      <c r="M300" s="28"/>
    </row>
    <row r="301">
      <c r="A301" s="16"/>
      <c r="B301" s="4"/>
      <c r="C301" s="2"/>
      <c r="D301" s="2"/>
      <c r="E301" s="2"/>
      <c r="F301" s="21"/>
      <c r="G301" s="4"/>
      <c r="H301" s="2"/>
      <c r="I301" s="2"/>
      <c r="M301" s="28"/>
    </row>
    <row r="302">
      <c r="A302" s="16"/>
      <c r="B302" s="4"/>
      <c r="C302" s="2"/>
      <c r="D302" s="2"/>
      <c r="E302" s="2"/>
      <c r="F302" s="21"/>
      <c r="G302" s="4"/>
      <c r="H302" s="2"/>
      <c r="I302" s="2"/>
      <c r="M302" s="28"/>
    </row>
    <row r="303">
      <c r="A303" s="16"/>
      <c r="B303" s="4"/>
      <c r="C303" s="2"/>
      <c r="D303" s="2"/>
      <c r="E303" s="2"/>
      <c r="F303" s="21"/>
      <c r="G303" s="4"/>
      <c r="H303" s="2"/>
      <c r="I303" s="2"/>
      <c r="M303" s="28"/>
    </row>
    <row r="304">
      <c r="A304" s="16"/>
      <c r="B304" s="4"/>
      <c r="C304" s="2"/>
      <c r="D304" s="2"/>
      <c r="E304" s="2"/>
      <c r="F304" s="21"/>
      <c r="G304" s="4"/>
      <c r="H304" s="2"/>
      <c r="I304" s="2"/>
      <c r="M304" s="28"/>
    </row>
    <row r="305">
      <c r="A305" s="16"/>
      <c r="B305" s="4"/>
      <c r="C305" s="2"/>
      <c r="D305" s="2"/>
      <c r="E305" s="2"/>
      <c r="F305" s="21"/>
      <c r="G305" s="4"/>
      <c r="H305" s="2"/>
      <c r="I305" s="2"/>
      <c r="M305" s="31"/>
    </row>
    <row r="306">
      <c r="A306" s="16"/>
      <c r="B306" s="4"/>
      <c r="C306" s="2"/>
      <c r="D306" s="2"/>
      <c r="E306" s="2"/>
      <c r="F306" s="21"/>
      <c r="G306" s="4"/>
      <c r="H306" s="2"/>
      <c r="I306" s="2"/>
      <c r="M306" s="28"/>
    </row>
    <row r="307">
      <c r="A307" s="16"/>
      <c r="B307" s="4"/>
      <c r="C307" s="2"/>
      <c r="D307" s="2"/>
      <c r="E307" s="2"/>
      <c r="F307" s="21"/>
      <c r="G307" s="4"/>
      <c r="H307" s="2"/>
      <c r="I307" s="2"/>
      <c r="M307" s="28"/>
    </row>
    <row r="308">
      <c r="A308" s="16"/>
      <c r="B308" s="4"/>
      <c r="C308" s="2"/>
      <c r="D308" s="2"/>
      <c r="E308" s="2"/>
      <c r="F308" s="21"/>
      <c r="G308" s="4"/>
      <c r="H308" s="2"/>
      <c r="I308" s="2"/>
      <c r="M308" s="28"/>
    </row>
    <row r="309">
      <c r="A309" s="16"/>
      <c r="B309" s="4"/>
      <c r="C309" s="2"/>
      <c r="D309" s="2"/>
      <c r="E309" s="2"/>
      <c r="F309" s="21"/>
      <c r="G309" s="4"/>
      <c r="H309" s="2"/>
      <c r="I309" s="2"/>
      <c r="M309" s="28"/>
    </row>
    <row r="310">
      <c r="A310" s="16"/>
      <c r="B310" s="4"/>
      <c r="C310" s="2"/>
      <c r="D310" s="2"/>
      <c r="E310" s="2"/>
      <c r="F310" s="21"/>
      <c r="G310" s="4"/>
      <c r="H310" s="2"/>
      <c r="I310" s="2"/>
      <c r="M310" s="28"/>
    </row>
    <row r="311">
      <c r="A311" s="16"/>
      <c r="B311" s="4"/>
      <c r="C311" s="2"/>
      <c r="D311" s="2"/>
      <c r="E311" s="2"/>
      <c r="F311" s="21"/>
      <c r="G311" s="4"/>
      <c r="H311" s="2"/>
      <c r="I311" s="2"/>
      <c r="M311" s="28"/>
    </row>
    <row r="312">
      <c r="A312" s="16"/>
      <c r="B312" s="4"/>
      <c r="C312" s="2"/>
      <c r="D312" s="2"/>
      <c r="E312" s="2"/>
      <c r="F312" s="21"/>
      <c r="G312" s="4"/>
      <c r="H312" s="2"/>
      <c r="I312" s="2"/>
      <c r="M312" s="28"/>
    </row>
    <row r="313">
      <c r="A313" s="16"/>
      <c r="B313" s="4"/>
      <c r="C313" s="2"/>
      <c r="D313" s="2"/>
      <c r="E313" s="2"/>
      <c r="F313" s="21"/>
      <c r="G313" s="4"/>
      <c r="H313" s="2"/>
      <c r="I313" s="2"/>
      <c r="L313" s="34"/>
      <c r="M313" s="28"/>
    </row>
    <row r="314">
      <c r="A314" s="16"/>
      <c r="B314" s="4"/>
      <c r="C314" s="2"/>
      <c r="D314" s="2"/>
      <c r="E314" s="2"/>
      <c r="F314" s="21"/>
      <c r="G314" s="4"/>
      <c r="H314" s="2"/>
      <c r="I314" s="2"/>
      <c r="M314" s="28"/>
    </row>
    <row r="315">
      <c r="A315" s="16"/>
      <c r="B315" s="4"/>
      <c r="C315" s="2"/>
      <c r="D315" s="2"/>
      <c r="E315" s="2"/>
      <c r="F315" s="21"/>
      <c r="G315" s="4"/>
      <c r="H315" s="2"/>
      <c r="I315" s="2"/>
      <c r="M315" s="28"/>
    </row>
    <row r="316">
      <c r="A316" s="16"/>
      <c r="B316" s="4"/>
      <c r="C316" s="2"/>
      <c r="D316" s="2"/>
      <c r="E316" s="2"/>
      <c r="F316" s="21"/>
      <c r="G316" s="4"/>
      <c r="H316" s="2"/>
      <c r="I316" s="2"/>
      <c r="M316" s="28"/>
    </row>
    <row r="317">
      <c r="A317" s="16"/>
      <c r="B317" s="4"/>
      <c r="C317" s="2"/>
      <c r="D317" s="2"/>
      <c r="E317" s="2"/>
      <c r="F317" s="21"/>
      <c r="G317" s="4"/>
      <c r="H317" s="2"/>
      <c r="I317" s="2"/>
      <c r="M317" s="28"/>
    </row>
    <row r="318">
      <c r="A318" s="16"/>
      <c r="B318" s="4"/>
      <c r="C318" s="2"/>
      <c r="D318" s="2"/>
      <c r="E318" s="2"/>
      <c r="F318" s="21"/>
      <c r="G318" s="4"/>
      <c r="H318" s="2"/>
      <c r="I318" s="2"/>
      <c r="M318" s="28"/>
    </row>
    <row r="319">
      <c r="A319" s="16"/>
      <c r="B319" s="4"/>
      <c r="C319" s="2"/>
      <c r="D319" s="2"/>
      <c r="E319" s="2"/>
      <c r="F319" s="21"/>
      <c r="G319" s="4"/>
      <c r="H319" s="2"/>
      <c r="I319" s="2"/>
      <c r="M319" s="28"/>
    </row>
    <row r="320">
      <c r="A320" s="16"/>
      <c r="B320" s="4"/>
      <c r="C320" s="2"/>
      <c r="D320" s="2"/>
      <c r="E320" s="2"/>
      <c r="F320" s="21"/>
      <c r="G320" s="4"/>
      <c r="H320" s="2"/>
      <c r="I320" s="2"/>
      <c r="M320" s="28"/>
    </row>
    <row r="321">
      <c r="A321" s="16"/>
      <c r="B321" s="4"/>
      <c r="C321" s="2"/>
      <c r="D321" s="2"/>
      <c r="E321" s="2"/>
      <c r="F321" s="21"/>
      <c r="G321" s="4"/>
      <c r="H321" s="2"/>
      <c r="I321" s="2"/>
      <c r="M321" s="28"/>
    </row>
    <row r="322">
      <c r="A322" s="16"/>
      <c r="B322" s="4"/>
      <c r="C322" s="2"/>
      <c r="D322" s="2"/>
      <c r="E322" s="2"/>
      <c r="F322" s="21"/>
      <c r="G322" s="4"/>
      <c r="H322" s="2"/>
      <c r="I322" s="2"/>
      <c r="M322" s="28"/>
    </row>
    <row r="323">
      <c r="A323" s="16"/>
      <c r="B323" s="4"/>
      <c r="C323" s="2"/>
      <c r="D323" s="2"/>
      <c r="E323" s="2"/>
      <c r="F323" s="21"/>
      <c r="G323" s="4"/>
      <c r="H323" s="2"/>
      <c r="I323" s="2"/>
      <c r="M323" s="28"/>
    </row>
    <row r="324">
      <c r="B324" s="4"/>
      <c r="C324" s="2"/>
      <c r="D324" s="2"/>
      <c r="E324" s="2"/>
      <c r="F324" s="21"/>
      <c r="G324" s="4"/>
      <c r="H324" s="2"/>
      <c r="I324" s="2"/>
      <c r="M324" s="32"/>
    </row>
    <row r="325">
      <c r="B325" s="4"/>
      <c r="C325" s="2"/>
      <c r="D325" s="2"/>
      <c r="E325" s="2"/>
      <c r="F325" s="21"/>
      <c r="G325" s="4"/>
      <c r="H325" s="2"/>
      <c r="I325" s="2"/>
      <c r="M325" s="32"/>
    </row>
    <row r="326">
      <c r="B326" s="4"/>
      <c r="C326" s="2"/>
      <c r="D326" s="2"/>
      <c r="E326" s="2"/>
      <c r="F326" s="21"/>
      <c r="G326" s="4"/>
      <c r="H326" s="2"/>
      <c r="I326" s="2"/>
      <c r="M326" s="32"/>
    </row>
    <row r="327">
      <c r="B327" s="4"/>
      <c r="C327" s="2"/>
      <c r="D327" s="2"/>
      <c r="E327" s="2"/>
      <c r="F327" s="21"/>
      <c r="G327" s="4"/>
      <c r="H327" s="2"/>
      <c r="I327" s="2"/>
      <c r="M327" s="32"/>
    </row>
    <row r="328">
      <c r="B328" s="4"/>
      <c r="C328" s="2"/>
      <c r="D328" s="2"/>
      <c r="E328" s="2"/>
      <c r="F328" s="21"/>
      <c r="G328" s="4"/>
      <c r="H328" s="2"/>
      <c r="I328" s="2"/>
      <c r="M328" s="32"/>
    </row>
    <row r="329">
      <c r="B329" s="4"/>
      <c r="C329" s="2"/>
      <c r="D329" s="2"/>
      <c r="E329" s="2"/>
      <c r="F329" s="21"/>
      <c r="G329" s="4"/>
      <c r="H329" s="2"/>
      <c r="I329" s="2"/>
      <c r="M329" s="32"/>
    </row>
    <row r="330">
      <c r="B330" s="4"/>
      <c r="C330" s="2"/>
      <c r="D330" s="2"/>
      <c r="E330" s="2"/>
      <c r="F330" s="21"/>
      <c r="G330" s="4"/>
      <c r="H330" s="2"/>
      <c r="I330" s="2"/>
      <c r="M330" s="32"/>
    </row>
    <row r="331">
      <c r="B331" s="4"/>
      <c r="C331" s="2"/>
      <c r="D331" s="2"/>
      <c r="E331" s="2"/>
      <c r="F331" s="21"/>
      <c r="G331" s="4"/>
      <c r="H331" s="2"/>
      <c r="I331" s="2"/>
      <c r="M331" s="32"/>
    </row>
    <row r="332">
      <c r="B332" s="4"/>
      <c r="C332" s="2"/>
      <c r="D332" s="2"/>
      <c r="E332" s="2"/>
      <c r="F332" s="21"/>
      <c r="G332" s="4"/>
      <c r="H332" s="2"/>
      <c r="I332" s="2"/>
      <c r="M332" s="32"/>
    </row>
    <row r="333">
      <c r="B333" s="4"/>
      <c r="C333" s="2"/>
      <c r="D333" s="2"/>
      <c r="E333" s="2"/>
      <c r="F333" s="21"/>
      <c r="G333" s="4"/>
      <c r="H333" s="2"/>
      <c r="I333" s="2"/>
      <c r="M333" s="32"/>
    </row>
    <row r="334">
      <c r="B334" s="4"/>
      <c r="C334" s="2"/>
      <c r="D334" s="2"/>
      <c r="E334" s="2"/>
      <c r="F334" s="21"/>
      <c r="G334" s="4"/>
      <c r="H334" s="2"/>
      <c r="I334" s="2"/>
      <c r="M334" s="32"/>
    </row>
    <row r="335">
      <c r="B335" s="4"/>
      <c r="C335" s="2"/>
      <c r="D335" s="2"/>
      <c r="E335" s="2"/>
      <c r="F335" s="21"/>
      <c r="G335" s="4"/>
      <c r="H335" s="2"/>
      <c r="I335" s="2"/>
      <c r="M335" s="32"/>
    </row>
    <row r="336">
      <c r="B336" s="4"/>
      <c r="C336" s="2"/>
      <c r="D336" s="2"/>
      <c r="E336" s="2"/>
      <c r="F336" s="21"/>
      <c r="G336" s="4"/>
      <c r="H336" s="2"/>
      <c r="I336" s="2"/>
      <c r="M336" s="32"/>
    </row>
    <row r="337">
      <c r="B337" s="4"/>
      <c r="C337" s="2"/>
      <c r="D337" s="2"/>
      <c r="E337" s="2"/>
      <c r="F337" s="21"/>
      <c r="G337" s="4"/>
      <c r="H337" s="2"/>
      <c r="I337" s="2"/>
      <c r="M337" s="32"/>
    </row>
    <row r="338">
      <c r="B338" s="4"/>
      <c r="C338" s="2"/>
      <c r="D338" s="2"/>
      <c r="E338" s="2"/>
      <c r="F338" s="21"/>
      <c r="G338" s="4"/>
      <c r="H338" s="2"/>
      <c r="I338" s="2"/>
      <c r="M338" s="32"/>
    </row>
    <row r="339">
      <c r="B339" s="4"/>
      <c r="C339" s="2"/>
      <c r="D339" s="2"/>
      <c r="E339" s="2"/>
      <c r="F339" s="21"/>
      <c r="G339" s="4"/>
      <c r="H339" s="2"/>
      <c r="I339" s="2"/>
      <c r="M339" s="32"/>
    </row>
    <row r="340">
      <c r="B340" s="32"/>
      <c r="M340" s="32"/>
    </row>
    <row r="341">
      <c r="B341" s="32"/>
      <c r="M341" s="32"/>
    </row>
    <row r="342">
      <c r="B342" s="32"/>
      <c r="M342" s="32"/>
    </row>
    <row r="343">
      <c r="B343" s="32"/>
      <c r="M343" s="32"/>
    </row>
    <row r="344">
      <c r="B344" s="32"/>
      <c r="M344" s="32"/>
    </row>
    <row r="345">
      <c r="B345" s="32"/>
      <c r="M345" s="32"/>
    </row>
    <row r="346">
      <c r="B346" s="32"/>
      <c r="M346" s="32"/>
    </row>
    <row r="347">
      <c r="B347" s="32"/>
      <c r="M347" s="32"/>
    </row>
    <row r="348">
      <c r="B348" s="32"/>
      <c r="M348" s="32"/>
    </row>
    <row r="349">
      <c r="B349" s="32"/>
      <c r="M349" s="32"/>
    </row>
    <row r="350">
      <c r="B350" s="32"/>
      <c r="M350" s="32"/>
    </row>
    <row r="351">
      <c r="B351" s="32"/>
      <c r="M351" s="32"/>
    </row>
    <row r="352">
      <c r="B352" s="32"/>
      <c r="M352" s="32"/>
    </row>
    <row r="353">
      <c r="B353" s="32"/>
      <c r="M353" s="32"/>
    </row>
    <row r="354">
      <c r="B354" s="32"/>
      <c r="M354" s="32"/>
    </row>
    <row r="355">
      <c r="B355" s="32"/>
      <c r="M355" s="32"/>
    </row>
    <row r="356">
      <c r="B356" s="32"/>
      <c r="M356" s="32"/>
    </row>
    <row r="357">
      <c r="B357" s="32"/>
      <c r="M357" s="32"/>
    </row>
    <row r="358">
      <c r="B358" s="32"/>
      <c r="M358" s="32"/>
    </row>
    <row r="359">
      <c r="B359" s="32"/>
      <c r="M359" s="32"/>
    </row>
    <row r="360">
      <c r="B360" s="32"/>
      <c r="M360" s="32"/>
    </row>
    <row r="361">
      <c r="B361" s="32"/>
      <c r="M361" s="32"/>
    </row>
    <row r="362">
      <c r="B362" s="32"/>
      <c r="M362" s="32"/>
    </row>
    <row r="363">
      <c r="B363" s="32"/>
      <c r="M363" s="32"/>
    </row>
    <row r="364">
      <c r="B364" s="32"/>
      <c r="M364" s="32"/>
    </row>
    <row r="365">
      <c r="B365" s="32"/>
      <c r="M365" s="32"/>
    </row>
    <row r="366">
      <c r="B366" s="32"/>
      <c r="M366" s="32"/>
    </row>
    <row r="367">
      <c r="B367" s="32"/>
      <c r="M367" s="32"/>
    </row>
    <row r="368">
      <c r="B368" s="32"/>
      <c r="M368" s="32"/>
    </row>
    <row r="369">
      <c r="B369" s="32"/>
      <c r="M369" s="32"/>
    </row>
    <row r="370">
      <c r="B370" s="32"/>
      <c r="M370" s="32"/>
    </row>
    <row r="371">
      <c r="B371" s="32"/>
      <c r="M371" s="32"/>
    </row>
    <row r="372">
      <c r="B372" s="32"/>
      <c r="M372" s="32"/>
    </row>
    <row r="373">
      <c r="B373" s="32"/>
      <c r="M373" s="32"/>
    </row>
    <row r="374">
      <c r="B374" s="32"/>
      <c r="M374" s="32"/>
    </row>
    <row r="375">
      <c r="B375" s="32"/>
      <c r="M375" s="32"/>
    </row>
    <row r="376">
      <c r="B376" s="32"/>
      <c r="M376" s="32"/>
    </row>
    <row r="377">
      <c r="B377" s="32"/>
      <c r="M377" s="32"/>
    </row>
    <row r="378">
      <c r="B378" s="32"/>
      <c r="M378" s="32"/>
    </row>
    <row r="379">
      <c r="B379" s="32"/>
      <c r="M379" s="32"/>
    </row>
    <row r="380">
      <c r="B380" s="32"/>
      <c r="M380" s="32"/>
    </row>
    <row r="381">
      <c r="B381" s="32"/>
      <c r="M381" s="32"/>
    </row>
    <row r="382">
      <c r="B382" s="32"/>
      <c r="M382" s="32"/>
    </row>
    <row r="383">
      <c r="B383" s="32"/>
      <c r="M383" s="32"/>
    </row>
    <row r="384">
      <c r="B384" s="32"/>
      <c r="M384" s="32"/>
    </row>
    <row r="385">
      <c r="B385" s="32"/>
      <c r="M385" s="32"/>
    </row>
    <row r="386">
      <c r="B386" s="32"/>
      <c r="M386" s="32"/>
    </row>
    <row r="387">
      <c r="B387" s="32"/>
      <c r="M387" s="32"/>
    </row>
    <row r="388">
      <c r="B388" s="32"/>
      <c r="M388" s="32"/>
    </row>
    <row r="389">
      <c r="B389" s="32"/>
      <c r="M389" s="32"/>
    </row>
    <row r="390">
      <c r="B390" s="32"/>
      <c r="M390" s="32"/>
    </row>
    <row r="391">
      <c r="B391" s="32"/>
      <c r="M391" s="32"/>
    </row>
    <row r="392">
      <c r="B392" s="32"/>
      <c r="M392" s="32"/>
    </row>
    <row r="393">
      <c r="B393" s="32"/>
      <c r="M393" s="32"/>
    </row>
    <row r="394">
      <c r="B394" s="32"/>
      <c r="M394" s="32"/>
    </row>
    <row r="395">
      <c r="B395" s="32"/>
      <c r="M395" s="32"/>
    </row>
    <row r="396">
      <c r="B396" s="32"/>
      <c r="M396" s="32"/>
    </row>
    <row r="397">
      <c r="B397" s="32"/>
      <c r="M397" s="32"/>
    </row>
    <row r="398">
      <c r="B398" s="32"/>
      <c r="M398" s="32"/>
    </row>
    <row r="399">
      <c r="B399" s="32"/>
      <c r="M399" s="32"/>
    </row>
    <row r="400">
      <c r="B400" s="32"/>
      <c r="M400" s="32"/>
    </row>
    <row r="401">
      <c r="B401" s="32"/>
      <c r="M401" s="32"/>
    </row>
    <row r="402">
      <c r="B402" s="32"/>
      <c r="M402" s="32"/>
    </row>
    <row r="403">
      <c r="B403" s="32"/>
      <c r="M403" s="32"/>
    </row>
    <row r="404">
      <c r="B404" s="32"/>
      <c r="M404" s="32"/>
    </row>
    <row r="405">
      <c r="B405" s="32"/>
      <c r="M405" s="32"/>
    </row>
    <row r="406">
      <c r="B406" s="32"/>
      <c r="M406" s="32"/>
    </row>
    <row r="407">
      <c r="B407" s="32"/>
      <c r="M407" s="32"/>
    </row>
    <row r="408">
      <c r="B408" s="32"/>
      <c r="M408" s="32"/>
    </row>
    <row r="409">
      <c r="B409" s="32"/>
      <c r="M409" s="32"/>
    </row>
    <row r="410">
      <c r="B410" s="32"/>
      <c r="M410" s="32"/>
    </row>
    <row r="411">
      <c r="B411" s="32"/>
      <c r="M411" s="32"/>
    </row>
    <row r="412">
      <c r="B412" s="32"/>
      <c r="M412" s="32"/>
    </row>
    <row r="413">
      <c r="B413" s="32"/>
      <c r="M413" s="32"/>
    </row>
    <row r="414">
      <c r="B414" s="32"/>
      <c r="M414" s="32"/>
    </row>
    <row r="415">
      <c r="B415" s="32"/>
      <c r="M415" s="32"/>
    </row>
    <row r="416">
      <c r="B416" s="32"/>
      <c r="M416" s="32"/>
    </row>
    <row r="417">
      <c r="B417" s="32"/>
      <c r="M417" s="32"/>
    </row>
    <row r="418">
      <c r="B418" s="32"/>
      <c r="M418" s="32"/>
    </row>
    <row r="419">
      <c r="B419" s="32"/>
      <c r="M419" s="32"/>
    </row>
    <row r="420">
      <c r="B420" s="32"/>
      <c r="M420" s="32"/>
    </row>
    <row r="421">
      <c r="B421" s="32"/>
      <c r="M421" s="32"/>
    </row>
    <row r="422">
      <c r="B422" s="32"/>
      <c r="M422" s="32"/>
    </row>
    <row r="423">
      <c r="B423" s="32"/>
      <c r="M423" s="32"/>
    </row>
    <row r="424">
      <c r="B424" s="32"/>
      <c r="M424" s="32"/>
    </row>
    <row r="425">
      <c r="B425" s="32"/>
      <c r="M425" s="32"/>
    </row>
    <row r="426">
      <c r="B426" s="32"/>
      <c r="M426" s="32"/>
    </row>
    <row r="427">
      <c r="B427" s="32"/>
      <c r="M427" s="32"/>
    </row>
    <row r="428">
      <c r="B428" s="32"/>
      <c r="M428" s="32"/>
    </row>
    <row r="429">
      <c r="B429" s="32"/>
      <c r="M429" s="32"/>
    </row>
    <row r="430">
      <c r="B430" s="32"/>
      <c r="M430" s="32"/>
    </row>
    <row r="431">
      <c r="B431" s="32"/>
      <c r="M431" s="32"/>
    </row>
    <row r="432">
      <c r="B432" s="32"/>
      <c r="M432" s="32"/>
    </row>
    <row r="433">
      <c r="B433" s="32"/>
      <c r="M433" s="32"/>
    </row>
    <row r="434">
      <c r="B434" s="32"/>
      <c r="M434" s="32"/>
    </row>
    <row r="435">
      <c r="B435" s="32"/>
      <c r="M435" s="32"/>
    </row>
    <row r="436">
      <c r="B436" s="32"/>
      <c r="M436" s="32"/>
    </row>
    <row r="437">
      <c r="B437" s="32"/>
      <c r="M437" s="32"/>
    </row>
    <row r="438">
      <c r="B438" s="32"/>
      <c r="M438" s="32"/>
    </row>
    <row r="439">
      <c r="B439" s="32"/>
      <c r="M439" s="32"/>
    </row>
    <row r="440">
      <c r="B440" s="32"/>
      <c r="M440" s="32"/>
    </row>
    <row r="441">
      <c r="B441" s="32"/>
      <c r="M441" s="32"/>
    </row>
    <row r="442">
      <c r="B442" s="32"/>
      <c r="M442" s="32"/>
    </row>
    <row r="443">
      <c r="B443" s="32"/>
      <c r="M443" s="32"/>
    </row>
    <row r="444">
      <c r="B444" s="32"/>
      <c r="M444" s="32"/>
    </row>
    <row r="445">
      <c r="B445" s="32"/>
      <c r="M445" s="32"/>
    </row>
    <row r="446">
      <c r="B446" s="32"/>
      <c r="M446" s="32"/>
    </row>
    <row r="447">
      <c r="B447" s="32"/>
      <c r="M447" s="32"/>
    </row>
    <row r="448">
      <c r="B448" s="32"/>
      <c r="M448" s="32"/>
    </row>
    <row r="449">
      <c r="B449" s="32"/>
      <c r="M449" s="32"/>
    </row>
    <row r="450">
      <c r="B450" s="32"/>
      <c r="M450" s="32"/>
    </row>
    <row r="451">
      <c r="B451" s="32"/>
      <c r="M451" s="32"/>
    </row>
    <row r="452">
      <c r="B452" s="32"/>
      <c r="M452" s="32"/>
    </row>
    <row r="453">
      <c r="B453" s="32"/>
      <c r="M453" s="32"/>
    </row>
    <row r="454">
      <c r="B454" s="32"/>
      <c r="M454" s="32"/>
    </row>
    <row r="455">
      <c r="B455" s="32"/>
      <c r="M455" s="32"/>
    </row>
    <row r="456">
      <c r="B456" s="32"/>
      <c r="M456" s="32"/>
    </row>
    <row r="457">
      <c r="B457" s="32"/>
      <c r="M457" s="32"/>
    </row>
    <row r="458">
      <c r="B458" s="32"/>
      <c r="M458" s="32"/>
    </row>
    <row r="459">
      <c r="B459" s="32"/>
      <c r="M459" s="32"/>
    </row>
    <row r="460">
      <c r="B460" s="32"/>
      <c r="M460" s="32"/>
    </row>
    <row r="461">
      <c r="B461" s="32"/>
      <c r="M461" s="32"/>
    </row>
    <row r="462">
      <c r="B462" s="32"/>
      <c r="M462" s="32"/>
    </row>
    <row r="463">
      <c r="B463" s="32"/>
      <c r="M463" s="32"/>
    </row>
    <row r="464">
      <c r="B464" s="32"/>
      <c r="M464" s="32"/>
    </row>
    <row r="465">
      <c r="B465" s="32"/>
      <c r="M465" s="32"/>
    </row>
    <row r="466">
      <c r="B466" s="32"/>
      <c r="M466" s="32"/>
    </row>
    <row r="467">
      <c r="B467" s="32"/>
      <c r="M467" s="32"/>
    </row>
    <row r="468">
      <c r="B468" s="32"/>
      <c r="M468" s="32"/>
    </row>
    <row r="469">
      <c r="B469" s="32"/>
      <c r="M469" s="32"/>
    </row>
    <row r="470">
      <c r="B470" s="32"/>
      <c r="M470" s="32"/>
    </row>
    <row r="471">
      <c r="B471" s="32"/>
      <c r="M471" s="32"/>
    </row>
    <row r="472">
      <c r="B472" s="32"/>
      <c r="M472" s="32"/>
    </row>
    <row r="473">
      <c r="B473" s="32"/>
      <c r="M473" s="32"/>
    </row>
    <row r="474">
      <c r="B474" s="32"/>
      <c r="M474" s="32"/>
    </row>
    <row r="475">
      <c r="B475" s="32"/>
      <c r="M475" s="32"/>
    </row>
    <row r="476">
      <c r="B476" s="32"/>
      <c r="M476" s="32"/>
    </row>
    <row r="477">
      <c r="B477" s="32"/>
      <c r="M477" s="32"/>
    </row>
    <row r="478">
      <c r="B478" s="32"/>
      <c r="M478" s="32"/>
    </row>
    <row r="479">
      <c r="B479" s="32"/>
      <c r="M479" s="32"/>
    </row>
    <row r="480">
      <c r="B480" s="32"/>
      <c r="M480" s="32"/>
    </row>
    <row r="481">
      <c r="B481" s="32"/>
      <c r="M481" s="32"/>
    </row>
    <row r="482">
      <c r="B482" s="32"/>
      <c r="M482" s="32"/>
    </row>
    <row r="483">
      <c r="B483" s="32"/>
      <c r="M483" s="32"/>
    </row>
    <row r="484">
      <c r="B484" s="32"/>
      <c r="M484" s="32"/>
    </row>
    <row r="485">
      <c r="B485" s="32"/>
      <c r="M485" s="32"/>
    </row>
    <row r="486">
      <c r="B486" s="32"/>
      <c r="M486" s="32"/>
    </row>
    <row r="487">
      <c r="B487" s="32"/>
      <c r="M487" s="32"/>
    </row>
    <row r="488">
      <c r="B488" s="32"/>
      <c r="M488" s="32"/>
    </row>
    <row r="489">
      <c r="B489" s="32"/>
      <c r="M489" s="32"/>
    </row>
    <row r="490">
      <c r="B490" s="32"/>
      <c r="M490" s="32"/>
    </row>
    <row r="491">
      <c r="B491" s="32"/>
      <c r="M491" s="32"/>
    </row>
    <row r="492">
      <c r="B492" s="32"/>
      <c r="M492" s="32"/>
    </row>
    <row r="493">
      <c r="B493" s="32"/>
      <c r="M493" s="32"/>
    </row>
    <row r="494">
      <c r="B494" s="32"/>
      <c r="M494" s="32"/>
    </row>
    <row r="495">
      <c r="B495" s="32"/>
      <c r="M495" s="32"/>
    </row>
    <row r="496">
      <c r="B496" s="32"/>
      <c r="M496" s="32"/>
    </row>
    <row r="497">
      <c r="B497" s="32"/>
      <c r="M497" s="32"/>
    </row>
    <row r="498">
      <c r="B498" s="32"/>
      <c r="M498" s="32"/>
    </row>
    <row r="499">
      <c r="B499" s="32"/>
      <c r="M499" s="32"/>
    </row>
    <row r="500">
      <c r="B500" s="32"/>
      <c r="M500" s="32"/>
    </row>
    <row r="501">
      <c r="B501" s="32"/>
      <c r="M501" s="32"/>
    </row>
    <row r="502">
      <c r="B502" s="32"/>
      <c r="M502" s="32"/>
    </row>
    <row r="503">
      <c r="B503" s="32"/>
      <c r="M503" s="32"/>
    </row>
    <row r="504">
      <c r="B504" s="32"/>
      <c r="M504" s="32"/>
    </row>
    <row r="505">
      <c r="B505" s="32"/>
      <c r="M505" s="32"/>
    </row>
    <row r="506">
      <c r="B506" s="32"/>
      <c r="M506" s="32"/>
    </row>
    <row r="507">
      <c r="B507" s="32"/>
      <c r="M507" s="32"/>
    </row>
    <row r="508">
      <c r="B508" s="32"/>
      <c r="M508" s="32"/>
    </row>
    <row r="509">
      <c r="B509" s="32"/>
      <c r="M509" s="32"/>
    </row>
    <row r="510">
      <c r="B510" s="32"/>
      <c r="M510" s="32"/>
    </row>
    <row r="511">
      <c r="B511" s="32"/>
      <c r="M511" s="32"/>
    </row>
    <row r="512">
      <c r="B512" s="32"/>
      <c r="M512" s="32"/>
    </row>
    <row r="513">
      <c r="B513" s="32"/>
      <c r="M513" s="32"/>
    </row>
    <row r="514">
      <c r="B514" s="32"/>
      <c r="M514" s="32"/>
    </row>
    <row r="515">
      <c r="B515" s="32"/>
      <c r="M515" s="32"/>
    </row>
    <row r="516">
      <c r="B516" s="32"/>
      <c r="M516" s="32"/>
    </row>
    <row r="517">
      <c r="B517" s="32"/>
      <c r="M517" s="32"/>
    </row>
    <row r="518">
      <c r="B518" s="32"/>
      <c r="M518" s="32"/>
    </row>
    <row r="519">
      <c r="B519" s="32"/>
      <c r="M519" s="32"/>
    </row>
    <row r="520">
      <c r="B520" s="32"/>
      <c r="M520" s="32"/>
    </row>
    <row r="521">
      <c r="B521" s="32"/>
      <c r="M521" s="32"/>
    </row>
    <row r="522">
      <c r="B522" s="32"/>
      <c r="M522" s="32"/>
    </row>
    <row r="523">
      <c r="B523" s="32"/>
      <c r="M523" s="32"/>
    </row>
    <row r="524">
      <c r="B524" s="32"/>
      <c r="M524" s="32"/>
    </row>
    <row r="525">
      <c r="B525" s="32"/>
      <c r="M525" s="32"/>
    </row>
    <row r="526">
      <c r="B526" s="32"/>
      <c r="M526" s="32"/>
    </row>
    <row r="527">
      <c r="B527" s="32"/>
      <c r="M527" s="32"/>
    </row>
    <row r="528">
      <c r="B528" s="32"/>
      <c r="M528" s="32"/>
    </row>
    <row r="529">
      <c r="B529" s="32"/>
      <c r="M529" s="32"/>
    </row>
    <row r="530">
      <c r="B530" s="32"/>
      <c r="M530" s="32"/>
    </row>
    <row r="531">
      <c r="B531" s="32"/>
      <c r="M531" s="32"/>
    </row>
    <row r="532">
      <c r="B532" s="32"/>
      <c r="M532" s="32"/>
    </row>
    <row r="533">
      <c r="B533" s="32"/>
      <c r="M533" s="32"/>
    </row>
    <row r="534">
      <c r="B534" s="32"/>
      <c r="M534" s="32"/>
    </row>
    <row r="535">
      <c r="B535" s="32"/>
      <c r="M535" s="32"/>
    </row>
    <row r="536">
      <c r="B536" s="32"/>
      <c r="M536" s="32"/>
    </row>
    <row r="537">
      <c r="B537" s="32"/>
      <c r="M537" s="32"/>
    </row>
    <row r="538">
      <c r="B538" s="32"/>
      <c r="M538" s="32"/>
    </row>
    <row r="539">
      <c r="B539" s="32"/>
      <c r="M539" s="32"/>
    </row>
    <row r="540">
      <c r="B540" s="32"/>
      <c r="M540" s="32"/>
    </row>
    <row r="541">
      <c r="B541" s="32"/>
      <c r="M541" s="32"/>
    </row>
    <row r="542">
      <c r="B542" s="32"/>
      <c r="M542" s="32"/>
    </row>
    <row r="543">
      <c r="B543" s="32"/>
      <c r="M543" s="32"/>
    </row>
    <row r="544">
      <c r="B544" s="32"/>
      <c r="M544" s="32"/>
    </row>
    <row r="545">
      <c r="B545" s="32"/>
      <c r="M545" s="32"/>
    </row>
    <row r="546">
      <c r="B546" s="32"/>
      <c r="M546" s="32"/>
    </row>
    <row r="547">
      <c r="B547" s="32"/>
      <c r="M547" s="32"/>
    </row>
    <row r="548">
      <c r="B548" s="32"/>
      <c r="M548" s="32"/>
    </row>
    <row r="549">
      <c r="B549" s="32"/>
      <c r="M549" s="32"/>
    </row>
    <row r="550">
      <c r="B550" s="32"/>
      <c r="M550" s="32"/>
    </row>
    <row r="551">
      <c r="B551" s="32"/>
      <c r="M551" s="32"/>
    </row>
    <row r="552">
      <c r="B552" s="32"/>
      <c r="M552" s="32"/>
    </row>
    <row r="553">
      <c r="B553" s="32"/>
      <c r="M553" s="32"/>
    </row>
    <row r="554">
      <c r="B554" s="32"/>
      <c r="M554" s="32"/>
    </row>
    <row r="555">
      <c r="B555" s="32"/>
      <c r="M555" s="32"/>
    </row>
    <row r="556">
      <c r="B556" s="32"/>
      <c r="M556" s="32"/>
    </row>
    <row r="557">
      <c r="B557" s="32"/>
      <c r="M557" s="32"/>
    </row>
    <row r="558">
      <c r="B558" s="32"/>
      <c r="M558" s="32"/>
    </row>
    <row r="559">
      <c r="B559" s="32"/>
      <c r="M559" s="32"/>
    </row>
    <row r="560">
      <c r="B560" s="32"/>
      <c r="M560" s="32"/>
    </row>
    <row r="561">
      <c r="B561" s="32"/>
      <c r="M561" s="32"/>
    </row>
    <row r="562">
      <c r="B562" s="32"/>
      <c r="M562" s="32"/>
    </row>
    <row r="563">
      <c r="B563" s="32"/>
      <c r="M563" s="32"/>
    </row>
    <row r="564">
      <c r="B564" s="32"/>
      <c r="M564" s="32"/>
    </row>
    <row r="565">
      <c r="B565" s="32"/>
      <c r="M565" s="32"/>
    </row>
    <row r="566">
      <c r="B566" s="32"/>
      <c r="M566" s="32"/>
    </row>
    <row r="567">
      <c r="B567" s="32"/>
      <c r="M567" s="32"/>
    </row>
    <row r="568">
      <c r="B568" s="32"/>
      <c r="M568" s="32"/>
    </row>
    <row r="569">
      <c r="B569" s="32"/>
      <c r="M569" s="32"/>
    </row>
    <row r="570">
      <c r="B570" s="32"/>
      <c r="M570" s="32"/>
    </row>
    <row r="571">
      <c r="B571" s="32"/>
      <c r="M571" s="32"/>
    </row>
    <row r="572">
      <c r="B572" s="32"/>
      <c r="M572" s="32"/>
    </row>
    <row r="573">
      <c r="B573" s="32"/>
      <c r="M573" s="32"/>
    </row>
    <row r="574">
      <c r="B574" s="32"/>
      <c r="M574" s="32"/>
    </row>
    <row r="575">
      <c r="B575" s="32"/>
      <c r="M575" s="32"/>
    </row>
    <row r="576">
      <c r="B576" s="32"/>
      <c r="M576" s="32"/>
    </row>
    <row r="577">
      <c r="B577" s="32"/>
      <c r="M577" s="32"/>
    </row>
    <row r="578">
      <c r="B578" s="32"/>
      <c r="M578" s="32"/>
    </row>
    <row r="579">
      <c r="B579" s="32"/>
      <c r="M579" s="32"/>
    </row>
    <row r="580">
      <c r="B580" s="32"/>
      <c r="M580" s="32"/>
    </row>
    <row r="581">
      <c r="B581" s="32"/>
      <c r="M581" s="32"/>
    </row>
    <row r="582">
      <c r="B582" s="32"/>
      <c r="M582" s="32"/>
    </row>
    <row r="583">
      <c r="B583" s="32"/>
      <c r="M583" s="32"/>
    </row>
    <row r="584">
      <c r="B584" s="32"/>
      <c r="M584" s="32"/>
    </row>
    <row r="585">
      <c r="B585" s="32"/>
      <c r="M585" s="32"/>
    </row>
    <row r="586">
      <c r="B586" s="32"/>
      <c r="M586" s="32"/>
    </row>
    <row r="587">
      <c r="B587" s="32"/>
      <c r="M587" s="32"/>
    </row>
    <row r="588">
      <c r="B588" s="32"/>
      <c r="M588" s="32"/>
    </row>
    <row r="589">
      <c r="B589" s="32"/>
      <c r="M589" s="32"/>
    </row>
    <row r="590">
      <c r="B590" s="32"/>
      <c r="M590" s="32"/>
    </row>
    <row r="591">
      <c r="B591" s="32"/>
      <c r="M591" s="32"/>
    </row>
    <row r="592">
      <c r="B592" s="32"/>
      <c r="M592" s="32"/>
    </row>
    <row r="593">
      <c r="B593" s="32"/>
      <c r="M593" s="32"/>
    </row>
    <row r="594">
      <c r="B594" s="32"/>
      <c r="M594" s="32"/>
    </row>
    <row r="595">
      <c r="B595" s="32"/>
      <c r="M595" s="32"/>
    </row>
    <row r="596">
      <c r="B596" s="32"/>
      <c r="M596" s="32"/>
    </row>
    <row r="597">
      <c r="B597" s="32"/>
      <c r="M597" s="32"/>
    </row>
    <row r="598">
      <c r="B598" s="32"/>
      <c r="M598" s="32"/>
    </row>
    <row r="599">
      <c r="B599" s="32"/>
      <c r="M599" s="32"/>
    </row>
    <row r="600">
      <c r="B600" s="32"/>
      <c r="M600" s="32"/>
    </row>
    <row r="601">
      <c r="B601" s="32"/>
      <c r="M601" s="32"/>
    </row>
    <row r="602">
      <c r="B602" s="32"/>
      <c r="M602" s="32"/>
    </row>
    <row r="603">
      <c r="B603" s="32"/>
      <c r="M603" s="32"/>
    </row>
    <row r="604">
      <c r="B604" s="32"/>
      <c r="M604" s="32"/>
    </row>
    <row r="605">
      <c r="B605" s="32"/>
      <c r="M605" s="32"/>
    </row>
    <row r="606">
      <c r="B606" s="32"/>
      <c r="M606" s="32"/>
    </row>
    <row r="607">
      <c r="B607" s="32"/>
      <c r="M607" s="32"/>
    </row>
    <row r="608">
      <c r="B608" s="32"/>
      <c r="M608" s="32"/>
    </row>
    <row r="609">
      <c r="B609" s="32"/>
      <c r="M609" s="32"/>
    </row>
    <row r="610">
      <c r="B610" s="32"/>
      <c r="M610" s="32"/>
    </row>
    <row r="611">
      <c r="B611" s="32"/>
      <c r="M611" s="32"/>
    </row>
    <row r="612">
      <c r="B612" s="32"/>
      <c r="M612" s="32"/>
    </row>
    <row r="613">
      <c r="B613" s="32"/>
      <c r="M613" s="32"/>
    </row>
    <row r="614">
      <c r="B614" s="32"/>
      <c r="M614" s="32"/>
    </row>
    <row r="615">
      <c r="B615" s="32"/>
      <c r="M615" s="32"/>
    </row>
    <row r="616">
      <c r="B616" s="32"/>
      <c r="M616" s="32"/>
    </row>
    <row r="617">
      <c r="B617" s="32"/>
      <c r="M617" s="32"/>
    </row>
    <row r="618">
      <c r="B618" s="32"/>
      <c r="M618" s="32"/>
    </row>
    <row r="619">
      <c r="B619" s="32"/>
      <c r="M619" s="32"/>
    </row>
    <row r="620">
      <c r="B620" s="32"/>
      <c r="M620" s="32"/>
    </row>
    <row r="621">
      <c r="B621" s="32"/>
      <c r="M621" s="32"/>
    </row>
    <row r="622">
      <c r="B622" s="32"/>
      <c r="M622" s="32"/>
    </row>
    <row r="623">
      <c r="B623" s="32"/>
      <c r="M623" s="32"/>
    </row>
    <row r="624">
      <c r="B624" s="32"/>
      <c r="M624" s="32"/>
    </row>
    <row r="625">
      <c r="B625" s="32"/>
      <c r="M625" s="32"/>
    </row>
    <row r="626">
      <c r="B626" s="32"/>
      <c r="M626" s="32"/>
    </row>
    <row r="627">
      <c r="B627" s="32"/>
      <c r="M627" s="32"/>
    </row>
    <row r="628">
      <c r="B628" s="32"/>
      <c r="M628" s="32"/>
    </row>
    <row r="629">
      <c r="B629" s="32"/>
      <c r="M629" s="32"/>
    </row>
    <row r="630">
      <c r="B630" s="32"/>
      <c r="M630" s="32"/>
    </row>
    <row r="631">
      <c r="B631" s="32"/>
      <c r="M631" s="32"/>
    </row>
    <row r="632">
      <c r="B632" s="32"/>
      <c r="M632" s="32"/>
    </row>
    <row r="633">
      <c r="B633" s="32"/>
      <c r="M633" s="32"/>
    </row>
    <row r="634">
      <c r="B634" s="32"/>
      <c r="M634" s="32"/>
    </row>
    <row r="635">
      <c r="B635" s="32"/>
      <c r="M635" s="32"/>
    </row>
    <row r="636">
      <c r="B636" s="32"/>
      <c r="M636" s="32"/>
    </row>
    <row r="637">
      <c r="B637" s="32"/>
      <c r="M637" s="32"/>
    </row>
    <row r="638">
      <c r="B638" s="32"/>
      <c r="M638" s="32"/>
    </row>
    <row r="639">
      <c r="B639" s="32"/>
      <c r="M639" s="32"/>
    </row>
    <row r="640">
      <c r="B640" s="32"/>
      <c r="M640" s="32"/>
    </row>
    <row r="641">
      <c r="B641" s="32"/>
      <c r="M641" s="32"/>
    </row>
    <row r="642">
      <c r="B642" s="32"/>
      <c r="M642" s="32"/>
    </row>
    <row r="643">
      <c r="B643" s="32"/>
      <c r="M643" s="32"/>
    </row>
    <row r="644">
      <c r="B644" s="32"/>
      <c r="M644" s="32"/>
    </row>
    <row r="645">
      <c r="B645" s="32"/>
      <c r="M645" s="32"/>
    </row>
    <row r="646">
      <c r="B646" s="32"/>
      <c r="M646" s="32"/>
    </row>
    <row r="647">
      <c r="B647" s="32"/>
      <c r="M647" s="32"/>
    </row>
    <row r="648">
      <c r="B648" s="32"/>
      <c r="M648" s="32"/>
    </row>
    <row r="649">
      <c r="B649" s="32"/>
      <c r="M649" s="32"/>
    </row>
    <row r="650">
      <c r="B650" s="32"/>
      <c r="M650" s="32"/>
    </row>
    <row r="651">
      <c r="B651" s="32"/>
      <c r="M651" s="32"/>
    </row>
    <row r="652">
      <c r="B652" s="32"/>
      <c r="M652" s="32"/>
    </row>
    <row r="653">
      <c r="B653" s="32"/>
      <c r="M653" s="32"/>
    </row>
    <row r="654">
      <c r="B654" s="32"/>
      <c r="M654" s="32"/>
    </row>
    <row r="655">
      <c r="B655" s="32"/>
      <c r="M655" s="32"/>
    </row>
    <row r="656">
      <c r="B656" s="32"/>
      <c r="M656" s="32"/>
    </row>
    <row r="657">
      <c r="B657" s="32"/>
      <c r="M657" s="32"/>
    </row>
    <row r="658">
      <c r="B658" s="32"/>
      <c r="M658" s="32"/>
    </row>
    <row r="659">
      <c r="B659" s="32"/>
      <c r="M659" s="32"/>
    </row>
    <row r="660">
      <c r="B660" s="32"/>
      <c r="M660" s="32"/>
    </row>
    <row r="661">
      <c r="B661" s="32"/>
      <c r="M661" s="32"/>
    </row>
    <row r="662">
      <c r="B662" s="32"/>
      <c r="M662" s="32"/>
    </row>
    <row r="663">
      <c r="B663" s="32"/>
      <c r="M663" s="32"/>
    </row>
    <row r="664">
      <c r="B664" s="32"/>
      <c r="M664" s="32"/>
    </row>
    <row r="665">
      <c r="B665" s="32"/>
      <c r="M665" s="32"/>
    </row>
    <row r="666">
      <c r="B666" s="32"/>
      <c r="M666" s="32"/>
    </row>
    <row r="667">
      <c r="B667" s="32"/>
      <c r="M667" s="32"/>
    </row>
    <row r="668">
      <c r="B668" s="32"/>
      <c r="M668" s="32"/>
    </row>
    <row r="669">
      <c r="B669" s="32"/>
      <c r="M669" s="32"/>
    </row>
    <row r="670">
      <c r="B670" s="32"/>
      <c r="M670" s="32"/>
    </row>
    <row r="671">
      <c r="B671" s="32"/>
      <c r="M671" s="32"/>
    </row>
    <row r="672">
      <c r="B672" s="32"/>
      <c r="M672" s="32"/>
    </row>
    <row r="673">
      <c r="B673" s="32"/>
      <c r="M673" s="32"/>
    </row>
    <row r="674">
      <c r="B674" s="32"/>
      <c r="M674" s="32"/>
    </row>
    <row r="675">
      <c r="B675" s="32"/>
      <c r="M675" s="32"/>
    </row>
    <row r="676">
      <c r="B676" s="32"/>
      <c r="M676" s="32"/>
    </row>
    <row r="677">
      <c r="B677" s="32"/>
      <c r="M677" s="32"/>
    </row>
    <row r="678">
      <c r="B678" s="32"/>
      <c r="M678" s="32"/>
    </row>
    <row r="679">
      <c r="B679" s="32"/>
      <c r="M679" s="32"/>
    </row>
    <row r="680">
      <c r="B680" s="32"/>
      <c r="M680" s="32"/>
    </row>
    <row r="681">
      <c r="B681" s="32"/>
      <c r="M681" s="32"/>
    </row>
    <row r="682">
      <c r="B682" s="32"/>
      <c r="M682" s="32"/>
    </row>
    <row r="683">
      <c r="B683" s="32"/>
      <c r="M683" s="32"/>
    </row>
    <row r="684">
      <c r="B684" s="32"/>
      <c r="M684" s="32"/>
    </row>
    <row r="685">
      <c r="B685" s="32"/>
      <c r="M685" s="32"/>
    </row>
    <row r="686">
      <c r="B686" s="32"/>
      <c r="M686" s="32"/>
    </row>
    <row r="687">
      <c r="B687" s="32"/>
      <c r="M687" s="32"/>
    </row>
    <row r="688">
      <c r="B688" s="32"/>
      <c r="M688" s="32"/>
    </row>
    <row r="689">
      <c r="B689" s="32"/>
      <c r="M689" s="32"/>
    </row>
    <row r="690">
      <c r="B690" s="32"/>
      <c r="M690" s="32"/>
    </row>
    <row r="691">
      <c r="B691" s="32"/>
      <c r="M691" s="32"/>
    </row>
    <row r="692">
      <c r="B692" s="32"/>
      <c r="M692" s="32"/>
    </row>
    <row r="693">
      <c r="B693" s="32"/>
      <c r="M693" s="32"/>
    </row>
    <row r="694">
      <c r="B694" s="32"/>
      <c r="M694" s="32"/>
    </row>
    <row r="695">
      <c r="B695" s="32"/>
      <c r="M695" s="32"/>
    </row>
    <row r="696">
      <c r="B696" s="32"/>
      <c r="M696" s="32"/>
    </row>
    <row r="697">
      <c r="B697" s="32"/>
      <c r="M697" s="32"/>
    </row>
    <row r="698">
      <c r="B698" s="32"/>
      <c r="M698" s="32"/>
    </row>
    <row r="699">
      <c r="B699" s="32"/>
      <c r="M699" s="32"/>
    </row>
    <row r="700">
      <c r="B700" s="32"/>
      <c r="M700" s="32"/>
    </row>
    <row r="701">
      <c r="B701" s="32"/>
      <c r="M701" s="32"/>
    </row>
    <row r="702">
      <c r="B702" s="32"/>
      <c r="M702" s="32"/>
    </row>
    <row r="703">
      <c r="B703" s="32"/>
      <c r="M703" s="32"/>
    </row>
    <row r="704">
      <c r="B704" s="32"/>
      <c r="M704" s="32"/>
    </row>
    <row r="705">
      <c r="B705" s="32"/>
      <c r="M705" s="32"/>
    </row>
    <row r="706">
      <c r="B706" s="32"/>
      <c r="M706" s="32"/>
    </row>
    <row r="707">
      <c r="B707" s="32"/>
      <c r="M707" s="32"/>
    </row>
    <row r="708">
      <c r="B708" s="32"/>
      <c r="M708" s="32"/>
    </row>
    <row r="709">
      <c r="B709" s="32"/>
      <c r="M709" s="32"/>
    </row>
    <row r="710">
      <c r="B710" s="32"/>
      <c r="M710" s="32"/>
    </row>
    <row r="711">
      <c r="B711" s="32"/>
      <c r="M711" s="32"/>
    </row>
    <row r="712">
      <c r="B712" s="32"/>
      <c r="M712" s="32"/>
    </row>
    <row r="713">
      <c r="B713" s="32"/>
      <c r="M713" s="32"/>
    </row>
    <row r="714">
      <c r="B714" s="32"/>
      <c r="M714" s="32"/>
    </row>
    <row r="715">
      <c r="B715" s="32"/>
      <c r="M715" s="32"/>
    </row>
    <row r="716">
      <c r="B716" s="32"/>
      <c r="M716" s="32"/>
    </row>
    <row r="717">
      <c r="B717" s="32"/>
      <c r="M717" s="32"/>
    </row>
    <row r="718">
      <c r="B718" s="32"/>
      <c r="M718" s="32"/>
    </row>
    <row r="719">
      <c r="B719" s="32"/>
      <c r="M719" s="32"/>
    </row>
    <row r="720">
      <c r="B720" s="32"/>
      <c r="M720" s="32"/>
    </row>
    <row r="721">
      <c r="B721" s="32"/>
      <c r="M721" s="32"/>
    </row>
    <row r="722">
      <c r="B722" s="32"/>
      <c r="M722" s="32"/>
    </row>
    <row r="723">
      <c r="B723" s="32"/>
      <c r="M723" s="32"/>
    </row>
    <row r="724">
      <c r="B724" s="32"/>
      <c r="M724" s="32"/>
    </row>
    <row r="725">
      <c r="B725" s="32"/>
      <c r="M725" s="32"/>
    </row>
    <row r="726">
      <c r="B726" s="32"/>
      <c r="M726" s="32"/>
    </row>
    <row r="727">
      <c r="B727" s="32"/>
      <c r="M727" s="32"/>
    </row>
    <row r="728">
      <c r="B728" s="32"/>
      <c r="M728" s="32"/>
    </row>
    <row r="729">
      <c r="B729" s="32"/>
      <c r="M729" s="32"/>
    </row>
    <row r="730">
      <c r="B730" s="32"/>
      <c r="M730" s="32"/>
    </row>
    <row r="731">
      <c r="B731" s="32"/>
      <c r="M731" s="32"/>
    </row>
    <row r="732">
      <c r="B732" s="32"/>
      <c r="M732" s="32"/>
    </row>
    <row r="733">
      <c r="B733" s="32"/>
      <c r="M733" s="32"/>
    </row>
    <row r="734">
      <c r="B734" s="32"/>
      <c r="M734" s="32"/>
    </row>
    <row r="735">
      <c r="B735" s="32"/>
      <c r="M735" s="32"/>
    </row>
    <row r="736">
      <c r="B736" s="32"/>
      <c r="M736" s="32"/>
    </row>
    <row r="737">
      <c r="B737" s="32"/>
      <c r="M737" s="32"/>
    </row>
    <row r="738">
      <c r="B738" s="32"/>
      <c r="M738" s="32"/>
    </row>
    <row r="739">
      <c r="B739" s="32"/>
      <c r="M739" s="32"/>
    </row>
    <row r="740">
      <c r="B740" s="32"/>
      <c r="M740" s="32"/>
    </row>
    <row r="741">
      <c r="B741" s="32"/>
      <c r="M741" s="32"/>
    </row>
    <row r="742">
      <c r="B742" s="32"/>
      <c r="M742" s="32"/>
    </row>
    <row r="743">
      <c r="B743" s="32"/>
      <c r="M743" s="32"/>
    </row>
    <row r="744">
      <c r="B744" s="32"/>
      <c r="M744" s="32"/>
    </row>
    <row r="745">
      <c r="B745" s="32"/>
      <c r="M745" s="32"/>
    </row>
    <row r="746">
      <c r="B746" s="32"/>
      <c r="M746" s="32"/>
    </row>
    <row r="747">
      <c r="B747" s="32"/>
      <c r="M747" s="32"/>
    </row>
    <row r="748">
      <c r="B748" s="32"/>
      <c r="M748" s="32"/>
    </row>
    <row r="749">
      <c r="B749" s="32"/>
      <c r="M749" s="32"/>
    </row>
    <row r="750">
      <c r="B750" s="32"/>
      <c r="M750" s="32"/>
    </row>
    <row r="751">
      <c r="B751" s="32"/>
      <c r="M751" s="32"/>
    </row>
    <row r="752">
      <c r="B752" s="32"/>
      <c r="M752" s="32"/>
    </row>
    <row r="753">
      <c r="B753" s="32"/>
      <c r="M753" s="32"/>
    </row>
    <row r="754">
      <c r="B754" s="32"/>
      <c r="M754" s="32"/>
    </row>
    <row r="755">
      <c r="B755" s="32"/>
      <c r="M755" s="32"/>
    </row>
    <row r="756">
      <c r="B756" s="32"/>
      <c r="M756" s="32"/>
    </row>
    <row r="757">
      <c r="B757" s="32"/>
      <c r="M757" s="32"/>
    </row>
    <row r="758">
      <c r="B758" s="32"/>
      <c r="M758" s="32"/>
    </row>
    <row r="759">
      <c r="B759" s="32"/>
      <c r="M759" s="32"/>
    </row>
    <row r="760">
      <c r="B760" s="32"/>
      <c r="M760" s="32"/>
    </row>
    <row r="761">
      <c r="B761" s="32"/>
      <c r="M761" s="32"/>
    </row>
    <row r="762">
      <c r="B762" s="32"/>
      <c r="M762" s="32"/>
    </row>
    <row r="763">
      <c r="B763" s="32"/>
      <c r="M763" s="32"/>
    </row>
    <row r="764">
      <c r="B764" s="32"/>
      <c r="M764" s="32"/>
    </row>
    <row r="765">
      <c r="B765" s="32"/>
      <c r="M765" s="32"/>
    </row>
    <row r="766">
      <c r="B766" s="32"/>
      <c r="M766" s="32"/>
    </row>
    <row r="767">
      <c r="B767" s="32"/>
      <c r="M767" s="32"/>
    </row>
    <row r="768">
      <c r="B768" s="32"/>
      <c r="M768" s="32"/>
    </row>
    <row r="769">
      <c r="B769" s="32"/>
      <c r="M769" s="32"/>
    </row>
    <row r="770">
      <c r="B770" s="32"/>
      <c r="M770" s="32"/>
    </row>
    <row r="771">
      <c r="B771" s="32"/>
      <c r="M771" s="32"/>
    </row>
    <row r="772">
      <c r="B772" s="32"/>
      <c r="M772" s="32"/>
    </row>
    <row r="773">
      <c r="B773" s="32"/>
      <c r="M773" s="32"/>
    </row>
    <row r="774">
      <c r="B774" s="32"/>
      <c r="M774" s="32"/>
    </row>
    <row r="775">
      <c r="B775" s="32"/>
      <c r="M775" s="32"/>
    </row>
    <row r="776">
      <c r="B776" s="32"/>
      <c r="M776" s="32"/>
    </row>
    <row r="777">
      <c r="B777" s="32"/>
      <c r="M777" s="32"/>
    </row>
    <row r="778">
      <c r="B778" s="32"/>
      <c r="M778" s="32"/>
    </row>
    <row r="779">
      <c r="B779" s="32"/>
      <c r="M779" s="32"/>
    </row>
    <row r="780">
      <c r="B780" s="32"/>
      <c r="M780" s="32"/>
    </row>
    <row r="781">
      <c r="B781" s="32"/>
      <c r="M781" s="32"/>
    </row>
    <row r="782">
      <c r="B782" s="32"/>
      <c r="M782" s="32"/>
    </row>
    <row r="783">
      <c r="B783" s="32"/>
      <c r="M783" s="32"/>
    </row>
    <row r="784">
      <c r="B784" s="32"/>
      <c r="M784" s="32"/>
    </row>
    <row r="785">
      <c r="B785" s="32"/>
      <c r="M785" s="32"/>
    </row>
    <row r="786">
      <c r="B786" s="32"/>
      <c r="M786" s="32"/>
    </row>
    <row r="787">
      <c r="B787" s="32"/>
      <c r="M787" s="32"/>
    </row>
    <row r="788">
      <c r="B788" s="32"/>
      <c r="M788" s="32"/>
    </row>
    <row r="789">
      <c r="B789" s="32"/>
      <c r="M789" s="32"/>
    </row>
    <row r="790">
      <c r="B790" s="32"/>
      <c r="M790" s="32"/>
    </row>
    <row r="791">
      <c r="B791" s="32"/>
      <c r="M791" s="32"/>
    </row>
    <row r="792">
      <c r="B792" s="32"/>
      <c r="M792" s="32"/>
    </row>
    <row r="793">
      <c r="B793" s="32"/>
      <c r="M793" s="32"/>
    </row>
    <row r="794">
      <c r="B794" s="32"/>
      <c r="M794" s="32"/>
    </row>
    <row r="795">
      <c r="B795" s="32"/>
      <c r="M795" s="32"/>
    </row>
    <row r="796">
      <c r="B796" s="32"/>
      <c r="M796" s="32"/>
    </row>
    <row r="797">
      <c r="B797" s="32"/>
      <c r="M797" s="32"/>
    </row>
    <row r="798">
      <c r="B798" s="32"/>
      <c r="M798" s="32"/>
    </row>
    <row r="799">
      <c r="B799" s="32"/>
      <c r="M799" s="32"/>
    </row>
    <row r="800">
      <c r="B800" s="32"/>
      <c r="M800" s="32"/>
    </row>
    <row r="801">
      <c r="B801" s="32"/>
      <c r="M801" s="32"/>
    </row>
    <row r="802">
      <c r="B802" s="32"/>
      <c r="M802" s="32"/>
    </row>
    <row r="803">
      <c r="B803" s="32"/>
      <c r="M803" s="32"/>
    </row>
    <row r="804">
      <c r="B804" s="32"/>
      <c r="M804" s="32"/>
    </row>
    <row r="805">
      <c r="B805" s="32"/>
      <c r="M805" s="32"/>
    </row>
    <row r="806">
      <c r="B806" s="32"/>
      <c r="M806" s="32"/>
    </row>
    <row r="807">
      <c r="B807" s="32"/>
      <c r="M807" s="32"/>
    </row>
    <row r="808">
      <c r="B808" s="32"/>
      <c r="M808" s="32"/>
    </row>
    <row r="809">
      <c r="B809" s="32"/>
      <c r="M809" s="32"/>
    </row>
    <row r="810">
      <c r="B810" s="32"/>
      <c r="M810" s="32"/>
    </row>
    <row r="811">
      <c r="B811" s="32"/>
      <c r="M811" s="32"/>
    </row>
    <row r="812">
      <c r="B812" s="32"/>
      <c r="M812" s="32"/>
    </row>
    <row r="813">
      <c r="B813" s="32"/>
      <c r="M813" s="32"/>
    </row>
    <row r="814">
      <c r="B814" s="32"/>
      <c r="M814" s="32"/>
    </row>
    <row r="815">
      <c r="B815" s="32"/>
      <c r="M815" s="32"/>
    </row>
    <row r="816">
      <c r="B816" s="32"/>
      <c r="M816" s="32"/>
    </row>
    <row r="817">
      <c r="B817" s="32"/>
      <c r="M817" s="32"/>
    </row>
    <row r="818">
      <c r="B818" s="32"/>
      <c r="M818" s="32"/>
    </row>
    <row r="819">
      <c r="B819" s="32"/>
      <c r="M819" s="32"/>
    </row>
    <row r="820">
      <c r="B820" s="32"/>
      <c r="M820" s="32"/>
    </row>
    <row r="821">
      <c r="B821" s="32"/>
      <c r="M821" s="32"/>
    </row>
    <row r="822">
      <c r="B822" s="32"/>
      <c r="M822" s="32"/>
    </row>
    <row r="823">
      <c r="B823" s="32"/>
      <c r="M823" s="32"/>
    </row>
    <row r="824">
      <c r="B824" s="32"/>
      <c r="M824" s="32"/>
    </row>
    <row r="825">
      <c r="B825" s="32"/>
      <c r="M825" s="32"/>
    </row>
    <row r="826">
      <c r="B826" s="32"/>
      <c r="M826" s="32"/>
    </row>
    <row r="827">
      <c r="B827" s="32"/>
      <c r="M827" s="32"/>
    </row>
    <row r="828">
      <c r="B828" s="32"/>
      <c r="M828" s="32"/>
    </row>
    <row r="829">
      <c r="B829" s="32"/>
      <c r="M829" s="32"/>
    </row>
    <row r="830">
      <c r="B830" s="32"/>
      <c r="M830" s="32"/>
    </row>
    <row r="831">
      <c r="B831" s="32"/>
      <c r="M831" s="32"/>
    </row>
    <row r="832">
      <c r="B832" s="32"/>
      <c r="M832" s="32"/>
    </row>
    <row r="833">
      <c r="B833" s="32"/>
      <c r="M833" s="32"/>
    </row>
    <row r="834">
      <c r="B834" s="32"/>
      <c r="M834" s="32"/>
    </row>
    <row r="835">
      <c r="B835" s="32"/>
      <c r="M835" s="32"/>
    </row>
    <row r="836">
      <c r="B836" s="32"/>
      <c r="M836" s="32"/>
    </row>
    <row r="837">
      <c r="B837" s="32"/>
      <c r="M837" s="32"/>
    </row>
    <row r="838">
      <c r="B838" s="32"/>
      <c r="M838" s="32"/>
    </row>
    <row r="839">
      <c r="B839" s="32"/>
      <c r="M839" s="32"/>
    </row>
    <row r="840">
      <c r="B840" s="32"/>
      <c r="M840" s="32"/>
    </row>
    <row r="841">
      <c r="B841" s="32"/>
      <c r="M841" s="32"/>
    </row>
    <row r="842">
      <c r="B842" s="32"/>
      <c r="M842" s="32"/>
    </row>
    <row r="843">
      <c r="B843" s="32"/>
      <c r="M843" s="32"/>
    </row>
    <row r="844">
      <c r="B844" s="32"/>
      <c r="M844" s="32"/>
    </row>
    <row r="845">
      <c r="B845" s="32"/>
      <c r="M845" s="32"/>
    </row>
    <row r="846">
      <c r="B846" s="32"/>
      <c r="M846" s="32"/>
    </row>
    <row r="847">
      <c r="B847" s="32"/>
      <c r="M847" s="32"/>
    </row>
    <row r="848">
      <c r="B848" s="32"/>
      <c r="M848" s="32"/>
    </row>
    <row r="849">
      <c r="B849" s="32"/>
      <c r="M849" s="32"/>
    </row>
    <row r="850">
      <c r="B850" s="32"/>
      <c r="M850" s="32"/>
    </row>
    <row r="851">
      <c r="B851" s="32"/>
      <c r="M851" s="32"/>
    </row>
    <row r="852">
      <c r="B852" s="32"/>
      <c r="M852" s="32"/>
    </row>
    <row r="853">
      <c r="B853" s="32"/>
      <c r="M853" s="32"/>
    </row>
    <row r="854">
      <c r="B854" s="32"/>
      <c r="M854" s="32"/>
    </row>
    <row r="855">
      <c r="B855" s="32"/>
      <c r="M855" s="32"/>
    </row>
    <row r="856">
      <c r="B856" s="32"/>
      <c r="M856" s="32"/>
    </row>
    <row r="857">
      <c r="B857" s="32"/>
      <c r="M857" s="32"/>
    </row>
    <row r="858">
      <c r="B858" s="32"/>
      <c r="M858" s="32"/>
    </row>
    <row r="859">
      <c r="B859" s="32"/>
      <c r="M859" s="32"/>
    </row>
    <row r="860">
      <c r="B860" s="32"/>
      <c r="M860" s="32"/>
    </row>
    <row r="861">
      <c r="B861" s="32"/>
      <c r="M861" s="32"/>
    </row>
    <row r="862">
      <c r="B862" s="32"/>
      <c r="M862" s="32"/>
    </row>
    <row r="863">
      <c r="B863" s="32"/>
      <c r="M863" s="32"/>
    </row>
    <row r="864">
      <c r="B864" s="32"/>
      <c r="M864" s="32"/>
    </row>
    <row r="865">
      <c r="B865" s="32"/>
      <c r="M865" s="32"/>
    </row>
    <row r="866">
      <c r="B866" s="32"/>
      <c r="M866" s="32"/>
    </row>
    <row r="867">
      <c r="B867" s="32"/>
      <c r="M867" s="32"/>
    </row>
    <row r="868">
      <c r="B868" s="32"/>
      <c r="M868" s="32"/>
    </row>
    <row r="869">
      <c r="B869" s="32"/>
      <c r="M869" s="32"/>
    </row>
    <row r="870">
      <c r="B870" s="32"/>
      <c r="M870" s="32"/>
    </row>
    <row r="871">
      <c r="B871" s="32"/>
      <c r="M871" s="32"/>
    </row>
    <row r="872">
      <c r="B872" s="32"/>
      <c r="M872" s="32"/>
    </row>
    <row r="873">
      <c r="B873" s="32"/>
      <c r="M873" s="32"/>
    </row>
    <row r="874">
      <c r="B874" s="32"/>
      <c r="M874" s="32"/>
    </row>
    <row r="875">
      <c r="B875" s="32"/>
      <c r="M875" s="32"/>
    </row>
    <row r="876">
      <c r="B876" s="32"/>
      <c r="M876" s="32"/>
    </row>
    <row r="877">
      <c r="B877" s="32"/>
      <c r="M877" s="32"/>
    </row>
    <row r="878">
      <c r="B878" s="32"/>
      <c r="M878" s="32"/>
    </row>
    <row r="879">
      <c r="B879" s="32"/>
      <c r="M879" s="32"/>
    </row>
    <row r="880">
      <c r="B880" s="32"/>
      <c r="M880" s="32"/>
    </row>
    <row r="881">
      <c r="B881" s="32"/>
      <c r="M881" s="32"/>
    </row>
    <row r="882">
      <c r="B882" s="32"/>
      <c r="M882" s="32"/>
    </row>
    <row r="883">
      <c r="B883" s="32"/>
      <c r="M883" s="32"/>
    </row>
    <row r="884">
      <c r="B884" s="32"/>
      <c r="M884" s="32"/>
    </row>
    <row r="885">
      <c r="B885" s="32"/>
      <c r="M885" s="32"/>
    </row>
    <row r="886">
      <c r="B886" s="32"/>
      <c r="M886" s="32"/>
    </row>
    <row r="887">
      <c r="B887" s="32"/>
      <c r="M887" s="32"/>
    </row>
    <row r="888">
      <c r="B888" s="32"/>
      <c r="M888" s="32"/>
    </row>
    <row r="889">
      <c r="B889" s="32"/>
      <c r="M889" s="32"/>
    </row>
    <row r="890">
      <c r="B890" s="32"/>
      <c r="M890" s="32"/>
    </row>
    <row r="891">
      <c r="B891" s="32"/>
      <c r="M891" s="32"/>
    </row>
    <row r="892">
      <c r="B892" s="32"/>
      <c r="M892" s="32"/>
    </row>
    <row r="893">
      <c r="B893" s="32"/>
      <c r="M893" s="32"/>
    </row>
    <row r="894">
      <c r="B894" s="32"/>
      <c r="M894" s="32"/>
    </row>
    <row r="895">
      <c r="B895" s="32"/>
      <c r="M895" s="32"/>
    </row>
    <row r="896">
      <c r="B896" s="32"/>
      <c r="M896" s="32"/>
    </row>
    <row r="897">
      <c r="B897" s="32"/>
      <c r="M897" s="32"/>
    </row>
    <row r="898">
      <c r="B898" s="32"/>
      <c r="M898" s="32"/>
    </row>
    <row r="899">
      <c r="B899" s="32"/>
      <c r="M899" s="32"/>
    </row>
    <row r="900">
      <c r="B900" s="32"/>
      <c r="M900" s="32"/>
    </row>
    <row r="901">
      <c r="B901" s="32"/>
      <c r="M901" s="32"/>
    </row>
    <row r="902">
      <c r="B902" s="32"/>
      <c r="M902" s="32"/>
    </row>
    <row r="903">
      <c r="B903" s="32"/>
      <c r="M903" s="32"/>
    </row>
    <row r="904">
      <c r="B904" s="32"/>
      <c r="M904" s="32"/>
    </row>
    <row r="905">
      <c r="B905" s="32"/>
      <c r="M905" s="32"/>
    </row>
    <row r="906">
      <c r="B906" s="32"/>
      <c r="M906" s="32"/>
    </row>
    <row r="907">
      <c r="B907" s="32"/>
      <c r="M907" s="32"/>
    </row>
    <row r="908">
      <c r="B908" s="32"/>
      <c r="M908" s="32"/>
    </row>
    <row r="909">
      <c r="B909" s="32"/>
      <c r="M909" s="32"/>
    </row>
    <row r="910">
      <c r="B910" s="32"/>
      <c r="M910" s="32"/>
    </row>
    <row r="911">
      <c r="B911" s="32"/>
      <c r="M911" s="32"/>
    </row>
    <row r="912">
      <c r="B912" s="32"/>
      <c r="M912" s="32"/>
    </row>
    <row r="913">
      <c r="B913" s="32"/>
      <c r="M913" s="32"/>
    </row>
    <row r="914">
      <c r="B914" s="32"/>
      <c r="M914" s="32"/>
    </row>
    <row r="915">
      <c r="B915" s="32"/>
      <c r="M915" s="32"/>
    </row>
    <row r="916">
      <c r="B916" s="32"/>
      <c r="M916" s="32"/>
    </row>
    <row r="917">
      <c r="B917" s="32"/>
      <c r="M917" s="32"/>
    </row>
    <row r="918">
      <c r="B918" s="32"/>
      <c r="M918" s="32"/>
    </row>
    <row r="919">
      <c r="B919" s="32"/>
      <c r="M919" s="32"/>
    </row>
    <row r="920">
      <c r="B920" s="32"/>
      <c r="M920" s="32"/>
    </row>
    <row r="921">
      <c r="B921" s="32"/>
      <c r="M921" s="32"/>
    </row>
    <row r="922">
      <c r="B922" s="32"/>
      <c r="M922" s="32"/>
    </row>
    <row r="923">
      <c r="B923" s="32"/>
      <c r="M923" s="32"/>
    </row>
    <row r="924">
      <c r="B924" s="32"/>
      <c r="M924" s="32"/>
    </row>
    <row r="925">
      <c r="B925" s="32"/>
      <c r="M925" s="32"/>
    </row>
    <row r="926">
      <c r="B926" s="32"/>
      <c r="M926" s="32"/>
    </row>
    <row r="927">
      <c r="B927" s="32"/>
      <c r="M927" s="32"/>
    </row>
    <row r="928">
      <c r="B928" s="32"/>
      <c r="M928" s="32"/>
    </row>
    <row r="929">
      <c r="B929" s="32"/>
      <c r="M929" s="32"/>
    </row>
    <row r="930">
      <c r="B930" s="32"/>
      <c r="M930" s="32"/>
    </row>
    <row r="931">
      <c r="B931" s="32"/>
      <c r="M931" s="32"/>
    </row>
    <row r="932">
      <c r="B932" s="32"/>
      <c r="M932" s="32"/>
    </row>
    <row r="933">
      <c r="B933" s="32"/>
      <c r="M933" s="32"/>
    </row>
    <row r="934">
      <c r="B934" s="32"/>
      <c r="M934" s="32"/>
    </row>
    <row r="935">
      <c r="B935" s="32"/>
      <c r="M935" s="32"/>
    </row>
    <row r="936">
      <c r="B936" s="32"/>
      <c r="M936" s="32"/>
    </row>
    <row r="937">
      <c r="B937" s="32"/>
      <c r="M937" s="32"/>
    </row>
    <row r="938">
      <c r="B938" s="32"/>
      <c r="M938" s="32"/>
    </row>
    <row r="939">
      <c r="B939" s="32"/>
      <c r="M939" s="32"/>
    </row>
    <row r="940">
      <c r="B940" s="32"/>
      <c r="M940" s="32"/>
    </row>
    <row r="941">
      <c r="B941" s="32"/>
      <c r="M941" s="32"/>
    </row>
    <row r="942">
      <c r="B942" s="32"/>
      <c r="M942" s="32"/>
    </row>
    <row r="943">
      <c r="B943" s="32"/>
      <c r="M943" s="32"/>
    </row>
    <row r="944">
      <c r="B944" s="32"/>
      <c r="M944" s="32"/>
    </row>
    <row r="945">
      <c r="B945" s="32"/>
      <c r="M945" s="32"/>
    </row>
    <row r="946">
      <c r="B946" s="32"/>
      <c r="M946" s="32"/>
    </row>
    <row r="947">
      <c r="B947" s="32"/>
      <c r="M947" s="32"/>
    </row>
    <row r="948">
      <c r="B948" s="32"/>
      <c r="M948" s="32"/>
    </row>
    <row r="949">
      <c r="B949" s="32"/>
      <c r="M949" s="32"/>
    </row>
    <row r="950">
      <c r="B950" s="32"/>
      <c r="M950" s="32"/>
    </row>
    <row r="951">
      <c r="B951" s="32"/>
      <c r="M951" s="32"/>
    </row>
    <row r="952">
      <c r="B952" s="32"/>
      <c r="M952" s="32"/>
    </row>
    <row r="953">
      <c r="B953" s="32"/>
      <c r="M953" s="32"/>
    </row>
    <row r="954">
      <c r="B954" s="32"/>
      <c r="M954" s="32"/>
    </row>
    <row r="955">
      <c r="B955" s="32"/>
      <c r="M955" s="32"/>
    </row>
    <row r="956">
      <c r="B956" s="32"/>
      <c r="M956" s="32"/>
    </row>
    <row r="957">
      <c r="B957" s="32"/>
      <c r="M957" s="32"/>
    </row>
    <row r="958">
      <c r="B958" s="32"/>
      <c r="M958" s="32"/>
    </row>
    <row r="959">
      <c r="B959" s="32"/>
      <c r="M959" s="32"/>
    </row>
    <row r="960">
      <c r="B960" s="32"/>
      <c r="M960" s="32"/>
    </row>
    <row r="961">
      <c r="B961" s="32"/>
      <c r="M961" s="32"/>
    </row>
    <row r="962">
      <c r="B962" s="32"/>
      <c r="M962" s="32"/>
    </row>
    <row r="963">
      <c r="B963" s="32"/>
      <c r="M963" s="32"/>
    </row>
    <row r="964">
      <c r="B964" s="32"/>
      <c r="M964" s="32"/>
    </row>
    <row r="965">
      <c r="B965" s="32"/>
      <c r="M965" s="32"/>
    </row>
    <row r="966">
      <c r="B966" s="32"/>
      <c r="M966" s="32"/>
    </row>
    <row r="967">
      <c r="B967" s="32"/>
      <c r="M967" s="32"/>
    </row>
    <row r="968">
      <c r="B968" s="32"/>
      <c r="M968" s="32"/>
    </row>
    <row r="969">
      <c r="B969" s="32"/>
      <c r="M969" s="32"/>
    </row>
    <row r="970">
      <c r="B970" s="32"/>
      <c r="M970" s="32"/>
    </row>
    <row r="971">
      <c r="B971" s="32"/>
      <c r="M971" s="32"/>
    </row>
    <row r="972">
      <c r="B972" s="32"/>
      <c r="M972" s="32"/>
    </row>
    <row r="973">
      <c r="B973" s="32"/>
      <c r="M973" s="32"/>
    </row>
    <row r="974">
      <c r="B974" s="32"/>
      <c r="M974" s="32"/>
    </row>
    <row r="975">
      <c r="B975" s="32"/>
      <c r="M975" s="32"/>
    </row>
    <row r="976">
      <c r="B976" s="32"/>
      <c r="M976" s="32"/>
    </row>
    <row r="977">
      <c r="B977" s="32"/>
      <c r="M977" s="32"/>
    </row>
    <row r="978">
      <c r="B978" s="32"/>
      <c r="M978" s="32"/>
    </row>
    <row r="979">
      <c r="B979" s="32"/>
      <c r="M979" s="32"/>
    </row>
    <row r="980">
      <c r="B980" s="32"/>
      <c r="M980" s="32"/>
    </row>
    <row r="981">
      <c r="B981" s="32"/>
      <c r="M981" s="32"/>
    </row>
    <row r="982">
      <c r="B982" s="32"/>
      <c r="M982" s="32"/>
    </row>
    <row r="983">
      <c r="B983" s="32"/>
      <c r="M983" s="32"/>
    </row>
    <row r="984">
      <c r="B984" s="32"/>
      <c r="M984" s="32"/>
    </row>
    <row r="985">
      <c r="B985" s="32"/>
      <c r="M985" s="32"/>
    </row>
    <row r="986">
      <c r="B986" s="32"/>
      <c r="M986" s="32"/>
    </row>
    <row r="987">
      <c r="B987" s="32"/>
      <c r="M987" s="32"/>
    </row>
    <row r="988">
      <c r="B988" s="32"/>
      <c r="M988" s="32"/>
    </row>
    <row r="989">
      <c r="B989" s="32"/>
      <c r="M989" s="32"/>
    </row>
    <row r="990">
      <c r="B990" s="32"/>
      <c r="M990" s="32"/>
    </row>
    <row r="991">
      <c r="B991" s="32"/>
      <c r="M991" s="32"/>
    </row>
    <row r="992">
      <c r="B992" s="32"/>
      <c r="M992" s="32"/>
    </row>
    <row r="993">
      <c r="B993" s="32"/>
      <c r="M993" s="32"/>
    </row>
    <row r="994">
      <c r="B994" s="32"/>
      <c r="M994" s="32"/>
    </row>
    <row r="995">
      <c r="B995" s="32"/>
      <c r="M995" s="32"/>
    </row>
    <row r="996">
      <c r="B996" s="32"/>
      <c r="M996" s="32"/>
    </row>
    <row r="997">
      <c r="B997" s="32"/>
      <c r="M997" s="32"/>
    </row>
    <row r="998">
      <c r="B998" s="32"/>
      <c r="M998" s="32"/>
    </row>
    <row r="999">
      <c r="B999" s="32"/>
      <c r="M999" s="32"/>
    </row>
    <row r="1000">
      <c r="B1000" s="32"/>
      <c r="M1000" s="32"/>
    </row>
    <row r="1001">
      <c r="B1001" s="32"/>
      <c r="M1001" s="32"/>
    </row>
    <row r="1002">
      <c r="B1002" s="32"/>
      <c r="M1002" s="32"/>
    </row>
    <row r="1003">
      <c r="B1003" s="32"/>
      <c r="M1003" s="32"/>
    </row>
    <row r="1004">
      <c r="B1004" s="32"/>
      <c r="M1004" s="32"/>
    </row>
    <row r="1005">
      <c r="B1005" s="32"/>
      <c r="M1005" s="32"/>
    </row>
    <row r="1006">
      <c r="B1006" s="32"/>
      <c r="M1006" s="32"/>
    </row>
    <row r="1007">
      <c r="B1007" s="32"/>
      <c r="M1007" s="32"/>
    </row>
    <row r="1008">
      <c r="B1008" s="32"/>
      <c r="M1008" s="32"/>
    </row>
    <row r="1009">
      <c r="B1009" s="32"/>
      <c r="M1009" s="32"/>
    </row>
    <row r="1010">
      <c r="B1010" s="32"/>
      <c r="M1010" s="32"/>
    </row>
    <row r="1011">
      <c r="B1011" s="32"/>
      <c r="M1011" s="32"/>
    </row>
    <row r="1012">
      <c r="B1012" s="32"/>
      <c r="M1012" s="32"/>
    </row>
    <row r="1013">
      <c r="B1013" s="32"/>
      <c r="M1013" s="32"/>
    </row>
    <row r="1014">
      <c r="B1014" s="32"/>
      <c r="M1014" s="32"/>
    </row>
    <row r="1015">
      <c r="B1015" s="32"/>
      <c r="M1015" s="32"/>
    </row>
    <row r="1016">
      <c r="B1016" s="32"/>
      <c r="M1016" s="32"/>
    </row>
    <row r="1017">
      <c r="B1017" s="32"/>
      <c r="M1017" s="32"/>
    </row>
    <row r="1018">
      <c r="B1018" s="32"/>
      <c r="M1018" s="32"/>
    </row>
    <row r="1019">
      <c r="B1019" s="32"/>
      <c r="M1019" s="32"/>
    </row>
    <row r="1020">
      <c r="B1020" s="32"/>
      <c r="M1020" s="32"/>
    </row>
    <row r="1021">
      <c r="B1021" s="32"/>
      <c r="M1021" s="32"/>
    </row>
    <row r="1022">
      <c r="B1022" s="32"/>
      <c r="M1022" s="32"/>
    </row>
    <row r="1023">
      <c r="B1023" s="32"/>
      <c r="M1023" s="32"/>
    </row>
    <row r="1024">
      <c r="B1024" s="32"/>
      <c r="M1024" s="32"/>
    </row>
    <row r="1025">
      <c r="B1025" s="32"/>
      <c r="M1025" s="32"/>
    </row>
    <row r="1026">
      <c r="B1026" s="32"/>
      <c r="M1026" s="32"/>
    </row>
    <row r="1027">
      <c r="B1027" s="32"/>
      <c r="M1027" s="32"/>
    </row>
    <row r="1028">
      <c r="B1028" s="32"/>
      <c r="M1028" s="32"/>
    </row>
    <row r="1029">
      <c r="B1029" s="32"/>
      <c r="M1029" s="32"/>
    </row>
    <row r="1030">
      <c r="B1030" s="32"/>
      <c r="M1030" s="32"/>
    </row>
    <row r="1031">
      <c r="B1031" s="32"/>
      <c r="M1031" s="32"/>
    </row>
    <row r="1032">
      <c r="B1032" s="32"/>
      <c r="M1032" s="32"/>
    </row>
    <row r="1033">
      <c r="B1033" s="32"/>
      <c r="M1033" s="32"/>
    </row>
    <row r="1034">
      <c r="B1034" s="32"/>
      <c r="M1034" s="32"/>
    </row>
    <row r="1035">
      <c r="B1035" s="32"/>
      <c r="M1035" s="32"/>
    </row>
    <row r="1036">
      <c r="B1036" s="32"/>
      <c r="M1036" s="32"/>
    </row>
    <row r="1037">
      <c r="B1037" s="32"/>
      <c r="M1037" s="3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8.25"/>
    <col customWidth="1" min="3" max="3" width="7.88"/>
    <col customWidth="1" min="4" max="4" width="8.0"/>
    <col customWidth="1" min="5" max="5" width="6.63"/>
    <col customWidth="1" min="6" max="6" width="10.88"/>
    <col customWidth="1" min="7" max="7" width="6.25"/>
    <col customWidth="1" min="8" max="8" width="6.38"/>
    <col customWidth="1" min="9" max="9" width="9.75"/>
    <col customWidth="1" min="11" max="11" width="28.75"/>
  </cols>
  <sheetData>
    <row r="1">
      <c r="A1" s="5">
        <v>46281.85820920139</v>
      </c>
      <c r="B1" s="8" t="s">
        <v>7</v>
      </c>
      <c r="C1" s="8">
        <v>1.0</v>
      </c>
      <c r="D1" s="8" t="s">
        <v>11</v>
      </c>
      <c r="E1" s="8" t="s">
        <v>12</v>
      </c>
      <c r="F1" s="8" t="s">
        <v>13</v>
      </c>
      <c r="G1" s="8">
        <v>4.0</v>
      </c>
      <c r="H1" s="8">
        <v>2.0</v>
      </c>
      <c r="I1" s="8" t="s">
        <v>14</v>
      </c>
      <c r="J1" s="8" t="s">
        <v>16</v>
      </c>
      <c r="K1" s="8" t="s">
        <v>18</v>
      </c>
      <c r="L1" s="8" t="s">
        <v>20</v>
      </c>
      <c r="M1" s="8" t="s">
        <v>22</v>
      </c>
      <c r="N1" s="11">
        <v>1.0</v>
      </c>
    </row>
    <row r="2">
      <c r="A2" s="5">
        <v>46281.85821396991</v>
      </c>
      <c r="B2" s="8" t="s">
        <v>7</v>
      </c>
      <c r="C2" s="8">
        <v>1.0</v>
      </c>
      <c r="D2" s="8" t="s">
        <v>11</v>
      </c>
      <c r="E2" s="8" t="s">
        <v>12</v>
      </c>
      <c r="F2" s="8" t="s">
        <v>13</v>
      </c>
      <c r="G2" s="8">
        <v>4.0</v>
      </c>
      <c r="H2" s="8">
        <v>2.0</v>
      </c>
      <c r="I2" s="8" t="s">
        <v>14</v>
      </c>
      <c r="J2" s="8" t="s">
        <v>16</v>
      </c>
      <c r="K2" s="8" t="s">
        <v>18</v>
      </c>
      <c r="L2" s="8" t="s">
        <v>25</v>
      </c>
      <c r="M2" s="8" t="s">
        <v>26</v>
      </c>
      <c r="N2" s="11">
        <v>1.0</v>
      </c>
    </row>
    <row r="3">
      <c r="A3" s="5">
        <v>46281.85822217593</v>
      </c>
      <c r="B3" s="8" t="s">
        <v>7</v>
      </c>
      <c r="C3" s="8">
        <v>1.0</v>
      </c>
      <c r="D3" s="8" t="s">
        <v>11</v>
      </c>
      <c r="E3" s="8" t="s">
        <v>12</v>
      </c>
      <c r="F3" s="8" t="s">
        <v>13</v>
      </c>
      <c r="G3" s="8">
        <v>4.0</v>
      </c>
      <c r="H3" s="8">
        <v>2.0</v>
      </c>
      <c r="I3" s="8" t="s">
        <v>14</v>
      </c>
      <c r="J3" s="8" t="s">
        <v>16</v>
      </c>
      <c r="K3" s="8" t="s">
        <v>18</v>
      </c>
      <c r="L3" s="8" t="s">
        <v>28</v>
      </c>
      <c r="M3" s="8" t="s">
        <v>29</v>
      </c>
      <c r="N3" s="11">
        <v>1.0</v>
      </c>
    </row>
    <row r="4">
      <c r="A4" s="5">
        <v>46281.90639927083</v>
      </c>
      <c r="B4" s="8" t="s">
        <v>7</v>
      </c>
      <c r="C4" s="8">
        <v>1.0</v>
      </c>
      <c r="D4" s="8" t="s">
        <v>11</v>
      </c>
      <c r="E4" s="8" t="s">
        <v>12</v>
      </c>
      <c r="F4" s="8" t="s">
        <v>13</v>
      </c>
      <c r="G4" s="8">
        <v>4.0</v>
      </c>
      <c r="H4" s="8">
        <v>2.0</v>
      </c>
      <c r="I4" s="8" t="s">
        <v>14</v>
      </c>
      <c r="J4" s="8" t="s">
        <v>16</v>
      </c>
      <c r="K4" s="8" t="s">
        <v>18</v>
      </c>
      <c r="L4" s="8" t="s">
        <v>20</v>
      </c>
      <c r="M4" s="8" t="s">
        <v>33</v>
      </c>
      <c r="N4" s="11">
        <v>0.0</v>
      </c>
    </row>
    <row r="5">
      <c r="A5" s="5">
        <v>46281.90640092593</v>
      </c>
      <c r="B5" s="8" t="s">
        <v>7</v>
      </c>
      <c r="C5" s="8">
        <v>1.0</v>
      </c>
      <c r="D5" s="8" t="s">
        <v>11</v>
      </c>
      <c r="E5" s="8" t="s">
        <v>12</v>
      </c>
      <c r="F5" s="8" t="s">
        <v>13</v>
      </c>
      <c r="G5" s="8">
        <v>4.0</v>
      </c>
      <c r="H5" s="8">
        <v>2.0</v>
      </c>
      <c r="I5" s="8" t="s">
        <v>14</v>
      </c>
      <c r="J5" s="8" t="s">
        <v>16</v>
      </c>
      <c r="K5" s="8" t="s">
        <v>18</v>
      </c>
      <c r="L5" s="8" t="s">
        <v>28</v>
      </c>
      <c r="M5" s="8" t="s">
        <v>34</v>
      </c>
      <c r="N5" s="11">
        <v>1.0</v>
      </c>
    </row>
    <row r="6">
      <c r="A6" s="5">
        <v>46281.90640890047</v>
      </c>
      <c r="B6" s="8" t="s">
        <v>7</v>
      </c>
      <c r="C6" s="8">
        <v>1.0</v>
      </c>
      <c r="D6" s="8" t="s">
        <v>11</v>
      </c>
      <c r="E6" s="8" t="s">
        <v>12</v>
      </c>
      <c r="F6" s="8" t="s">
        <v>13</v>
      </c>
      <c r="G6" s="8">
        <v>4.0</v>
      </c>
      <c r="H6" s="8">
        <v>2.0</v>
      </c>
      <c r="I6" s="8" t="s">
        <v>14</v>
      </c>
      <c r="J6" s="8" t="s">
        <v>16</v>
      </c>
      <c r="K6" s="8" t="s">
        <v>18</v>
      </c>
      <c r="L6" s="8" t="s">
        <v>25</v>
      </c>
      <c r="M6" s="8" t="s">
        <v>35</v>
      </c>
      <c r="N6" s="11">
        <v>1.0</v>
      </c>
    </row>
    <row r="7">
      <c r="A7" s="5">
        <v>46282.272147048614</v>
      </c>
      <c r="B7" s="8" t="s">
        <v>7</v>
      </c>
      <c r="C7" s="8">
        <v>1.0</v>
      </c>
      <c r="D7" s="8" t="s">
        <v>11</v>
      </c>
      <c r="E7" s="8" t="s">
        <v>12</v>
      </c>
      <c r="F7" s="8" t="s">
        <v>13</v>
      </c>
      <c r="G7" s="8">
        <v>4.0</v>
      </c>
      <c r="H7" s="8">
        <v>2.0</v>
      </c>
      <c r="I7" s="8" t="s">
        <v>14</v>
      </c>
      <c r="J7" s="8" t="s">
        <v>16</v>
      </c>
      <c r="K7" s="8" t="s">
        <v>18</v>
      </c>
      <c r="L7" s="8" t="s">
        <v>28</v>
      </c>
      <c r="M7" s="8" t="s">
        <v>36</v>
      </c>
      <c r="N7" s="11">
        <v>1.0</v>
      </c>
    </row>
    <row r="8">
      <c r="A8" s="5">
        <v>46282.27214935185</v>
      </c>
      <c r="B8" s="8" t="s">
        <v>7</v>
      </c>
      <c r="C8" s="8">
        <v>1.0</v>
      </c>
      <c r="D8" s="8" t="s">
        <v>11</v>
      </c>
      <c r="E8" s="8" t="s">
        <v>12</v>
      </c>
      <c r="F8" s="8" t="s">
        <v>13</v>
      </c>
      <c r="G8" s="8">
        <v>4.0</v>
      </c>
      <c r="H8" s="8">
        <v>2.0</v>
      </c>
      <c r="I8" s="8" t="s">
        <v>14</v>
      </c>
      <c r="J8" s="8" t="s">
        <v>16</v>
      </c>
      <c r="K8" s="8" t="s">
        <v>18</v>
      </c>
      <c r="L8" s="8" t="s">
        <v>25</v>
      </c>
      <c r="M8" s="8" t="s">
        <v>37</v>
      </c>
      <c r="N8" s="11">
        <v>1.0</v>
      </c>
    </row>
    <row r="9">
      <c r="A9" s="5">
        <v>46282.27215954861</v>
      </c>
      <c r="B9" s="8" t="s">
        <v>7</v>
      </c>
      <c r="C9" s="8">
        <v>1.0</v>
      </c>
      <c r="D9" s="8" t="s">
        <v>11</v>
      </c>
      <c r="E9" s="8" t="s">
        <v>12</v>
      </c>
      <c r="F9" s="8" t="s">
        <v>13</v>
      </c>
      <c r="G9" s="8">
        <v>4.0</v>
      </c>
      <c r="H9" s="8">
        <v>2.0</v>
      </c>
      <c r="I9" s="8" t="s">
        <v>14</v>
      </c>
      <c r="J9" s="8" t="s">
        <v>16</v>
      </c>
      <c r="K9" s="8" t="s">
        <v>18</v>
      </c>
      <c r="L9" s="8" t="s">
        <v>20</v>
      </c>
      <c r="M9" s="8" t="s">
        <v>38</v>
      </c>
      <c r="N9" s="11">
        <v>1.0</v>
      </c>
    </row>
    <row r="10">
      <c r="A10" s="5">
        <v>46282.28547231482</v>
      </c>
      <c r="B10" s="8" t="s">
        <v>18</v>
      </c>
      <c r="C10" s="8">
        <v>1.0</v>
      </c>
      <c r="D10" s="8" t="s">
        <v>11</v>
      </c>
      <c r="E10" s="8" t="s">
        <v>12</v>
      </c>
      <c r="F10" s="8" t="s">
        <v>13</v>
      </c>
      <c r="G10" s="8">
        <v>4.0</v>
      </c>
      <c r="H10" s="8">
        <v>2.0</v>
      </c>
      <c r="I10" s="8" t="s">
        <v>14</v>
      </c>
      <c r="J10" s="8" t="s">
        <v>16</v>
      </c>
      <c r="K10" s="8" t="s">
        <v>18</v>
      </c>
      <c r="L10" s="8" t="s">
        <v>20</v>
      </c>
      <c r="M10" s="8" t="s">
        <v>39</v>
      </c>
      <c r="N10" s="11">
        <v>1.0</v>
      </c>
    </row>
    <row r="11">
      <c r="A11" s="5">
        <v>46282.28547456018</v>
      </c>
      <c r="B11" s="8" t="s">
        <v>18</v>
      </c>
      <c r="C11" s="8">
        <v>1.0</v>
      </c>
      <c r="D11" s="8" t="s">
        <v>11</v>
      </c>
      <c r="E11" s="8" t="s">
        <v>12</v>
      </c>
      <c r="F11" s="8" t="s">
        <v>13</v>
      </c>
      <c r="G11" s="8">
        <v>4.0</v>
      </c>
      <c r="H11" s="8">
        <v>2.0</v>
      </c>
      <c r="I11" s="8" t="s">
        <v>14</v>
      </c>
      <c r="J11" s="8" t="s">
        <v>16</v>
      </c>
      <c r="K11" s="8" t="s">
        <v>18</v>
      </c>
      <c r="L11" s="8" t="s">
        <v>28</v>
      </c>
      <c r="M11" s="8" t="s">
        <v>40</v>
      </c>
      <c r="N11" s="11">
        <v>1.0</v>
      </c>
    </row>
    <row r="12">
      <c r="A12" s="5">
        <v>46282.28548306713</v>
      </c>
      <c r="B12" s="8" t="s">
        <v>18</v>
      </c>
      <c r="C12" s="8">
        <v>1.0</v>
      </c>
      <c r="D12" s="8" t="s">
        <v>11</v>
      </c>
      <c r="E12" s="8" t="s">
        <v>12</v>
      </c>
      <c r="F12" s="8" t="s">
        <v>13</v>
      </c>
      <c r="G12" s="8">
        <v>4.0</v>
      </c>
      <c r="H12" s="8">
        <v>2.0</v>
      </c>
      <c r="I12" s="8" t="s">
        <v>14</v>
      </c>
      <c r="J12" s="8" t="s">
        <v>16</v>
      </c>
      <c r="K12" s="8" t="s">
        <v>18</v>
      </c>
      <c r="L12" s="8" t="s">
        <v>25</v>
      </c>
      <c r="M12" s="8" t="s">
        <v>41</v>
      </c>
      <c r="N12" s="11">
        <v>1.0</v>
      </c>
    </row>
    <row r="13">
      <c r="A13" s="5">
        <v>46282.74129469907</v>
      </c>
      <c r="B13" s="8" t="s">
        <v>42</v>
      </c>
      <c r="C13" s="11">
        <v>1.0</v>
      </c>
      <c r="D13" s="8" t="s">
        <v>11</v>
      </c>
      <c r="L13" s="8" t="s">
        <v>28</v>
      </c>
      <c r="M13" s="8" t="s">
        <v>36</v>
      </c>
      <c r="N13" s="11">
        <v>1.0</v>
      </c>
    </row>
    <row r="14">
      <c r="A14" s="5">
        <v>46282.74129469907</v>
      </c>
      <c r="B14" s="8" t="s">
        <v>42</v>
      </c>
      <c r="C14" s="11">
        <v>1.0</v>
      </c>
      <c r="D14" s="8" t="s">
        <v>11</v>
      </c>
      <c r="L14" s="8" t="s">
        <v>20</v>
      </c>
      <c r="M14" s="8" t="s">
        <v>38</v>
      </c>
      <c r="N14" s="11">
        <v>0.75</v>
      </c>
    </row>
    <row r="15">
      <c r="A15" s="5">
        <v>46282.74129469907</v>
      </c>
      <c r="B15" s="8" t="s">
        <v>42</v>
      </c>
      <c r="C15" s="11">
        <v>1.0</v>
      </c>
      <c r="D15" s="8" t="s">
        <v>11</v>
      </c>
      <c r="L15" s="8" t="s">
        <v>25</v>
      </c>
      <c r="M15" s="8" t="s">
        <v>37</v>
      </c>
      <c r="N15" s="11">
        <v>0.8333333333333334</v>
      </c>
    </row>
    <row r="16">
      <c r="A16" s="5">
        <v>46282.75385982639</v>
      </c>
      <c r="B16" s="8" t="s">
        <v>42</v>
      </c>
      <c r="C16" s="11">
        <v>1.0</v>
      </c>
      <c r="D16" s="8" t="s">
        <v>11</v>
      </c>
      <c r="L16" s="8" t="s">
        <v>20</v>
      </c>
      <c r="M16" s="8" t="s">
        <v>38</v>
      </c>
      <c r="N16" s="11">
        <v>0.75</v>
      </c>
    </row>
    <row r="17">
      <c r="A17" s="5">
        <v>46282.75385982639</v>
      </c>
      <c r="B17" s="8" t="s">
        <v>42</v>
      </c>
      <c r="C17" s="11">
        <v>1.0</v>
      </c>
      <c r="D17" s="8" t="s">
        <v>11</v>
      </c>
      <c r="L17" s="8" t="s">
        <v>25</v>
      </c>
      <c r="M17" s="8" t="s">
        <v>37</v>
      </c>
      <c r="N17" s="11">
        <v>1.0</v>
      </c>
    </row>
    <row r="18">
      <c r="A18" s="5">
        <v>46282.75385982639</v>
      </c>
      <c r="B18" s="8" t="s">
        <v>42</v>
      </c>
      <c r="C18" s="11">
        <v>1.0</v>
      </c>
      <c r="D18" s="8" t="s">
        <v>11</v>
      </c>
      <c r="L18" s="8" t="s">
        <v>28</v>
      </c>
      <c r="M18" s="8" t="s">
        <v>36</v>
      </c>
      <c r="N18" s="11">
        <v>0.8333333333333334</v>
      </c>
    </row>
    <row r="19">
      <c r="A19" s="5">
        <v>46282.75752701389</v>
      </c>
      <c r="B19" s="8" t="s">
        <v>42</v>
      </c>
      <c r="C19" s="11">
        <v>1.0</v>
      </c>
      <c r="D19" s="8" t="s">
        <v>11</v>
      </c>
      <c r="L19" s="8" t="s">
        <v>28</v>
      </c>
      <c r="M19" s="8" t="s">
        <v>43</v>
      </c>
      <c r="N19" s="11">
        <v>1.0</v>
      </c>
    </row>
    <row r="20">
      <c r="A20" s="5">
        <v>46282.75802094907</v>
      </c>
      <c r="B20" s="8" t="s">
        <v>42</v>
      </c>
      <c r="C20" s="11">
        <v>1.0</v>
      </c>
      <c r="D20" s="8" t="s">
        <v>11</v>
      </c>
      <c r="L20" s="8" t="s">
        <v>28</v>
      </c>
      <c r="M20" s="8" t="s">
        <v>45</v>
      </c>
      <c r="N20" s="11">
        <v>0.6666666666666667</v>
      </c>
    </row>
    <row r="21">
      <c r="A21" s="5">
        <v>46282.764212511574</v>
      </c>
      <c r="B21" s="8" t="s">
        <v>46</v>
      </c>
      <c r="C21" s="11">
        <v>1.0</v>
      </c>
      <c r="D21" s="8" t="s">
        <v>11</v>
      </c>
      <c r="L21" s="8" t="s">
        <v>28</v>
      </c>
      <c r="M21" s="8" t="s">
        <v>45</v>
      </c>
      <c r="N21" s="11">
        <v>0.6666666666666667</v>
      </c>
    </row>
    <row r="22">
      <c r="A22" s="5">
        <v>46282.77668631944</v>
      </c>
      <c r="B22" s="8" t="s">
        <v>48</v>
      </c>
      <c r="C22" s="11">
        <v>1.0</v>
      </c>
      <c r="D22" s="8" t="s">
        <v>11</v>
      </c>
      <c r="L22" s="8" t="s">
        <v>28</v>
      </c>
      <c r="M22" s="8" t="s">
        <v>45</v>
      </c>
      <c r="N22" s="11">
        <v>0.5</v>
      </c>
    </row>
    <row r="23">
      <c r="A23" s="5">
        <v>46282.77913082176</v>
      </c>
      <c r="B23" s="8" t="s">
        <v>7</v>
      </c>
      <c r="C23" s="11">
        <v>1.0</v>
      </c>
      <c r="D23" s="8" t="s">
        <v>11</v>
      </c>
      <c r="L23" s="8" t="s">
        <v>28</v>
      </c>
      <c r="M23" s="8" t="s">
        <v>45</v>
      </c>
      <c r="N23" s="11">
        <v>0.6666666666666667</v>
      </c>
    </row>
    <row r="24">
      <c r="A24" s="5">
        <v>46282.7912449537</v>
      </c>
      <c r="B24" s="8" t="s">
        <v>18</v>
      </c>
      <c r="C24" s="11">
        <v>1.0</v>
      </c>
      <c r="D24" s="8" t="s">
        <v>11</v>
      </c>
      <c r="L24" s="8" t="s">
        <v>28</v>
      </c>
      <c r="M24" s="8" t="s">
        <v>43</v>
      </c>
      <c r="N24" s="11">
        <v>0.33333333333333337</v>
      </c>
    </row>
    <row r="25">
      <c r="A25" s="5">
        <v>46282.79218539352</v>
      </c>
      <c r="B25" s="8" t="s">
        <v>49</v>
      </c>
      <c r="C25" s="11">
        <v>1.0</v>
      </c>
      <c r="D25" s="8" t="s">
        <v>11</v>
      </c>
      <c r="L25" s="8" t="s">
        <v>28</v>
      </c>
      <c r="M25" s="8" t="s">
        <v>50</v>
      </c>
      <c r="N25" s="11">
        <v>0.16666666666666674</v>
      </c>
    </row>
    <row r="26">
      <c r="A26" s="5">
        <v>46283.284479016205</v>
      </c>
      <c r="B26" s="8" t="s">
        <v>18</v>
      </c>
      <c r="C26" s="11">
        <v>1.0</v>
      </c>
      <c r="D26" s="8" t="s">
        <v>11</v>
      </c>
      <c r="L26" s="8" t="s">
        <v>28</v>
      </c>
      <c r="M26" s="8" t="s">
        <v>51</v>
      </c>
      <c r="N26" s="11">
        <v>0.5</v>
      </c>
    </row>
    <row r="27">
      <c r="A27" s="5">
        <v>46283.284479016205</v>
      </c>
      <c r="B27" s="8" t="s">
        <v>18</v>
      </c>
      <c r="C27" s="11">
        <v>1.0</v>
      </c>
      <c r="D27" s="8" t="s">
        <v>11</v>
      </c>
      <c r="L27" s="8" t="s">
        <v>20</v>
      </c>
      <c r="M27" s="8" t="s">
        <v>52</v>
      </c>
      <c r="N27" s="11">
        <v>0.5</v>
      </c>
    </row>
    <row r="28">
      <c r="A28" s="5">
        <v>46283.284479016205</v>
      </c>
      <c r="B28" s="8" t="s">
        <v>18</v>
      </c>
      <c r="C28" s="11">
        <v>1.0</v>
      </c>
      <c r="D28" s="8" t="s">
        <v>11</v>
      </c>
      <c r="L28" s="8" t="s">
        <v>25</v>
      </c>
      <c r="M28" s="8" t="s">
        <v>53</v>
      </c>
      <c r="N28" s="11">
        <v>0.25</v>
      </c>
    </row>
    <row r="29">
      <c r="A29" s="5">
        <v>46283.288304710644</v>
      </c>
      <c r="B29" s="8" t="s">
        <v>54</v>
      </c>
      <c r="C29" s="11">
        <v>1.0</v>
      </c>
      <c r="D29" s="8" t="s">
        <v>11</v>
      </c>
      <c r="L29" s="8" t="s">
        <v>28</v>
      </c>
      <c r="M29" s="8" t="s">
        <v>51</v>
      </c>
      <c r="N29" s="11">
        <v>0.25</v>
      </c>
    </row>
    <row r="30">
      <c r="A30" s="5">
        <v>46283.288304710644</v>
      </c>
      <c r="B30" s="8" t="s">
        <v>54</v>
      </c>
      <c r="C30" s="11">
        <v>1.0</v>
      </c>
      <c r="D30" s="8" t="s">
        <v>11</v>
      </c>
      <c r="L30" s="8" t="s">
        <v>20</v>
      </c>
      <c r="M30" s="8" t="s">
        <v>52</v>
      </c>
      <c r="N30" s="11">
        <v>0.75</v>
      </c>
    </row>
    <row r="31">
      <c r="A31" s="5">
        <v>46283.288304710644</v>
      </c>
      <c r="B31" s="8" t="s">
        <v>54</v>
      </c>
      <c r="C31" s="11">
        <v>1.0</v>
      </c>
      <c r="D31" s="8" t="s">
        <v>11</v>
      </c>
      <c r="L31" s="8" t="s">
        <v>25</v>
      </c>
      <c r="M31" s="8" t="s">
        <v>53</v>
      </c>
      <c r="N31" s="11">
        <v>0.5</v>
      </c>
    </row>
    <row r="32">
      <c r="A32" s="5">
        <v>46283.291537557874</v>
      </c>
      <c r="B32" s="8" t="s">
        <v>18</v>
      </c>
      <c r="C32" s="11">
        <v>1.0</v>
      </c>
      <c r="D32" s="8" t="s">
        <v>11</v>
      </c>
      <c r="L32" s="8" t="s">
        <v>58</v>
      </c>
      <c r="M32" s="8" t="s">
        <v>59</v>
      </c>
      <c r="N32" s="11">
        <v>0.0</v>
      </c>
    </row>
    <row r="33">
      <c r="A33" s="5">
        <v>46283.291537557874</v>
      </c>
      <c r="B33" s="8" t="s">
        <v>18</v>
      </c>
      <c r="C33" s="11">
        <v>1.0</v>
      </c>
      <c r="D33" s="8" t="s">
        <v>11</v>
      </c>
      <c r="L33" s="8" t="s">
        <v>60</v>
      </c>
      <c r="M33" s="8" t="s">
        <v>61</v>
      </c>
      <c r="N33" s="11">
        <v>0.0</v>
      </c>
    </row>
    <row r="34">
      <c r="A34" s="5">
        <v>46283.291537557874</v>
      </c>
      <c r="B34" s="8" t="s">
        <v>18</v>
      </c>
      <c r="C34" s="11">
        <v>1.0</v>
      </c>
      <c r="D34" s="8" t="s">
        <v>11</v>
      </c>
      <c r="L34" s="8" t="s">
        <v>62</v>
      </c>
      <c r="M34" s="8" t="s">
        <v>59</v>
      </c>
      <c r="N34" s="11">
        <v>0.0</v>
      </c>
    </row>
    <row r="35">
      <c r="A35" s="5">
        <v>46283.29368894676</v>
      </c>
      <c r="B35" s="8" t="s">
        <v>63</v>
      </c>
      <c r="C35" s="11">
        <v>1.0</v>
      </c>
      <c r="D35" s="8" t="s">
        <v>11</v>
      </c>
      <c r="L35" s="8" t="s">
        <v>64</v>
      </c>
      <c r="M35" s="8" t="s">
        <v>65</v>
      </c>
      <c r="N35" s="11">
        <v>1.0</v>
      </c>
    </row>
    <row r="36">
      <c r="A36" s="5">
        <v>46283.29368894676</v>
      </c>
      <c r="B36" s="8" t="s">
        <v>63</v>
      </c>
      <c r="C36" s="11">
        <v>1.0</v>
      </c>
      <c r="D36" s="8" t="s">
        <v>11</v>
      </c>
      <c r="L36" s="8" t="s">
        <v>66</v>
      </c>
      <c r="M36" s="8" t="s">
        <v>67</v>
      </c>
      <c r="N36" s="11">
        <v>0.0</v>
      </c>
    </row>
    <row r="37">
      <c r="A37" s="5">
        <v>46283.29368894676</v>
      </c>
      <c r="B37" s="8" t="s">
        <v>63</v>
      </c>
      <c r="C37" s="11">
        <v>1.0</v>
      </c>
      <c r="D37" s="8" t="s">
        <v>11</v>
      </c>
      <c r="L37" s="8" t="s">
        <v>58</v>
      </c>
      <c r="M37" s="8" t="s">
        <v>68</v>
      </c>
      <c r="N37" s="11">
        <v>0.0</v>
      </c>
    </row>
    <row r="38">
      <c r="A38" s="5">
        <v>46283.29368894676</v>
      </c>
      <c r="B38" s="8" t="s">
        <v>63</v>
      </c>
      <c r="C38" s="11">
        <v>1.0</v>
      </c>
      <c r="D38" s="8" t="s">
        <v>11</v>
      </c>
      <c r="L38" s="8" t="s">
        <v>69</v>
      </c>
      <c r="M38" s="8" t="s">
        <v>70</v>
      </c>
      <c r="N38" s="11">
        <v>0.0</v>
      </c>
    </row>
    <row r="39">
      <c r="A39" s="5">
        <v>46283.29368894676</v>
      </c>
      <c r="B39" s="8" t="s">
        <v>63</v>
      </c>
      <c r="C39" s="11">
        <v>1.0</v>
      </c>
      <c r="D39" s="8" t="s">
        <v>11</v>
      </c>
      <c r="L39" s="8" t="s">
        <v>71</v>
      </c>
      <c r="M39" s="8" t="s">
        <v>72</v>
      </c>
      <c r="N39" s="11">
        <v>0.0</v>
      </c>
    </row>
    <row r="40">
      <c r="A40" s="5">
        <v>46283.29368894676</v>
      </c>
      <c r="B40" s="8" t="s">
        <v>63</v>
      </c>
      <c r="C40" s="11">
        <v>1.0</v>
      </c>
      <c r="D40" s="8" t="s">
        <v>11</v>
      </c>
      <c r="L40" s="8" t="s">
        <v>60</v>
      </c>
      <c r="M40" s="8" t="s">
        <v>68</v>
      </c>
      <c r="N40" s="11">
        <v>0.0</v>
      </c>
    </row>
    <row r="41">
      <c r="A41" s="5">
        <v>46283.29368894676</v>
      </c>
      <c r="B41" s="8" t="s">
        <v>63</v>
      </c>
      <c r="C41" s="11">
        <v>1.0</v>
      </c>
      <c r="D41" s="8" t="s">
        <v>11</v>
      </c>
      <c r="L41" s="8" t="s">
        <v>75</v>
      </c>
      <c r="M41" s="8" t="s">
        <v>76</v>
      </c>
      <c r="N41" s="11">
        <v>0.0</v>
      </c>
    </row>
    <row r="42">
      <c r="A42" s="5">
        <v>46283.29368894676</v>
      </c>
      <c r="B42" s="8" t="s">
        <v>63</v>
      </c>
      <c r="C42" s="11">
        <v>1.0</v>
      </c>
      <c r="D42" s="8" t="s">
        <v>11</v>
      </c>
      <c r="L42" s="8" t="s">
        <v>77</v>
      </c>
      <c r="M42" s="8" t="s">
        <v>78</v>
      </c>
      <c r="N42" s="11">
        <v>1.0</v>
      </c>
    </row>
    <row r="43">
      <c r="A43" s="5">
        <v>46283.29368894676</v>
      </c>
      <c r="B43" s="8" t="s">
        <v>63</v>
      </c>
      <c r="C43" s="11">
        <v>1.0</v>
      </c>
      <c r="D43" s="8" t="s">
        <v>11</v>
      </c>
      <c r="L43" s="8" t="s">
        <v>79</v>
      </c>
      <c r="M43" s="8" t="s">
        <v>80</v>
      </c>
      <c r="N43" s="11">
        <v>0.0</v>
      </c>
    </row>
    <row r="44">
      <c r="A44" s="5">
        <v>46283.29368894676</v>
      </c>
      <c r="B44" s="8" t="s">
        <v>63</v>
      </c>
      <c r="C44" s="11">
        <v>1.0</v>
      </c>
      <c r="D44" s="8" t="s">
        <v>11</v>
      </c>
      <c r="L44" s="8" t="s">
        <v>81</v>
      </c>
      <c r="M44" s="8" t="s">
        <v>82</v>
      </c>
      <c r="N44" s="11">
        <v>1.0</v>
      </c>
    </row>
    <row r="45">
      <c r="A45" s="5">
        <v>46283.29368894676</v>
      </c>
      <c r="B45" s="8" t="s">
        <v>63</v>
      </c>
      <c r="C45" s="11">
        <v>1.0</v>
      </c>
      <c r="D45" s="8" t="s">
        <v>11</v>
      </c>
      <c r="L45" s="8" t="s">
        <v>83</v>
      </c>
      <c r="M45" s="8" t="s">
        <v>84</v>
      </c>
      <c r="N45" s="11">
        <v>1.0</v>
      </c>
    </row>
    <row r="46">
      <c r="A46" s="5">
        <v>46283.29368894676</v>
      </c>
      <c r="B46" s="8" t="s">
        <v>63</v>
      </c>
      <c r="C46" s="11">
        <v>1.0</v>
      </c>
      <c r="D46" s="8" t="s">
        <v>11</v>
      </c>
      <c r="L46" s="8" t="s">
        <v>62</v>
      </c>
      <c r="M46" s="8" t="s">
        <v>85</v>
      </c>
      <c r="N46" s="11">
        <v>1.0</v>
      </c>
    </row>
    <row r="47">
      <c r="A47" s="5">
        <v>46283.29368894676</v>
      </c>
      <c r="B47" s="8" t="s">
        <v>63</v>
      </c>
      <c r="C47" s="11">
        <v>1.0</v>
      </c>
      <c r="D47" s="8" t="s">
        <v>11</v>
      </c>
      <c r="L47" s="8" t="s">
        <v>86</v>
      </c>
      <c r="M47" s="8" t="s">
        <v>87</v>
      </c>
      <c r="N47" s="11">
        <v>0.0</v>
      </c>
    </row>
    <row r="48">
      <c r="A48" s="5">
        <v>46283.51037209491</v>
      </c>
      <c r="B48" s="8" t="s">
        <v>88</v>
      </c>
      <c r="C48" s="11">
        <v>1.0</v>
      </c>
      <c r="D48" s="8" t="s">
        <v>11</v>
      </c>
      <c r="L48" s="8" t="s">
        <v>28</v>
      </c>
      <c r="M48" s="8" t="s">
        <v>89</v>
      </c>
      <c r="N48" s="11">
        <v>0.5</v>
      </c>
    </row>
    <row r="49">
      <c r="A49" s="5">
        <v>46283.51042332176</v>
      </c>
      <c r="B49" s="8" t="s">
        <v>18</v>
      </c>
      <c r="C49" s="11">
        <v>1.0</v>
      </c>
      <c r="D49" s="8" t="s">
        <v>11</v>
      </c>
      <c r="L49" s="8" t="s">
        <v>28</v>
      </c>
      <c r="M49" s="8" t="s">
        <v>43</v>
      </c>
      <c r="N49" s="11">
        <v>0.5</v>
      </c>
    </row>
    <row r="50">
      <c r="A50" s="5">
        <v>46283.510607662036</v>
      </c>
      <c r="B50" s="8" t="s">
        <v>18</v>
      </c>
      <c r="C50" s="11">
        <v>1.0</v>
      </c>
      <c r="D50" s="8" t="s">
        <v>11</v>
      </c>
      <c r="L50" s="8" t="s">
        <v>28</v>
      </c>
      <c r="M50" s="8" t="s">
        <v>43</v>
      </c>
      <c r="N50" s="11">
        <v>1.0</v>
      </c>
    </row>
    <row r="51">
      <c r="A51" s="5">
        <v>46283.51098553241</v>
      </c>
      <c r="B51" s="8" t="s">
        <v>93</v>
      </c>
      <c r="C51" s="11">
        <v>1.0</v>
      </c>
      <c r="D51" s="8" t="s">
        <v>11</v>
      </c>
      <c r="L51" s="8" t="s">
        <v>28</v>
      </c>
      <c r="M51" s="8" t="s">
        <v>94</v>
      </c>
      <c r="N51" s="11">
        <v>0.5</v>
      </c>
    </row>
    <row r="52">
      <c r="A52" s="5">
        <v>46284.36702953704</v>
      </c>
      <c r="B52" s="8" t="s">
        <v>18</v>
      </c>
      <c r="C52" s="8">
        <v>1.0</v>
      </c>
      <c r="D52" s="8" t="s">
        <v>95</v>
      </c>
      <c r="E52" s="8" t="s">
        <v>12</v>
      </c>
      <c r="F52" s="8" t="s">
        <v>13</v>
      </c>
      <c r="G52" s="8">
        <v>1.0</v>
      </c>
      <c r="H52" s="8">
        <v>1.0</v>
      </c>
      <c r="I52" s="8" t="s">
        <v>14</v>
      </c>
      <c r="J52" s="8" t="s">
        <v>96</v>
      </c>
      <c r="K52" s="8" t="s">
        <v>18</v>
      </c>
      <c r="L52" s="8" t="s">
        <v>58</v>
      </c>
      <c r="M52" s="8" t="s">
        <v>97</v>
      </c>
    </row>
    <row r="53">
      <c r="A53" s="5">
        <v>46284.36703513889</v>
      </c>
      <c r="B53" s="8" t="s">
        <v>18</v>
      </c>
      <c r="C53" s="8">
        <v>1.0</v>
      </c>
      <c r="D53" s="8" t="s">
        <v>95</v>
      </c>
      <c r="E53" s="8" t="s">
        <v>12</v>
      </c>
      <c r="F53" s="8" t="s">
        <v>13</v>
      </c>
      <c r="G53" s="8">
        <v>1.0</v>
      </c>
      <c r="H53" s="8">
        <v>1.0</v>
      </c>
      <c r="I53" s="8" t="s">
        <v>14</v>
      </c>
      <c r="J53" s="8" t="s">
        <v>96</v>
      </c>
      <c r="K53" s="8" t="s">
        <v>18</v>
      </c>
      <c r="L53" s="8" t="s">
        <v>69</v>
      </c>
      <c r="M53" s="8" t="s">
        <v>98</v>
      </c>
    </row>
    <row r="54">
      <c r="A54" s="5">
        <v>46284.367045983796</v>
      </c>
      <c r="B54" s="8" t="s">
        <v>18</v>
      </c>
      <c r="C54" s="8">
        <v>1.0</v>
      </c>
      <c r="D54" s="8" t="s">
        <v>95</v>
      </c>
      <c r="E54" s="8" t="s">
        <v>12</v>
      </c>
      <c r="F54" s="8" t="s">
        <v>13</v>
      </c>
      <c r="G54" s="8">
        <v>1.0</v>
      </c>
      <c r="H54" s="8">
        <v>1.0</v>
      </c>
      <c r="I54" s="8" t="s">
        <v>14</v>
      </c>
      <c r="J54" s="8" t="s">
        <v>96</v>
      </c>
      <c r="K54" s="8" t="s">
        <v>18</v>
      </c>
      <c r="L54" s="8" t="s">
        <v>62</v>
      </c>
      <c r="M54" s="8" t="s">
        <v>99</v>
      </c>
    </row>
    <row r="55">
      <c r="A55" s="5">
        <v>46284.3670527662</v>
      </c>
      <c r="B55" s="8" t="s">
        <v>18</v>
      </c>
      <c r="C55" s="8">
        <v>1.0</v>
      </c>
      <c r="D55" s="8" t="s">
        <v>95</v>
      </c>
      <c r="E55" s="8" t="s">
        <v>12</v>
      </c>
      <c r="F55" s="8" t="s">
        <v>13</v>
      </c>
      <c r="G55" s="8">
        <v>1.0</v>
      </c>
      <c r="H55" s="8">
        <v>1.0</v>
      </c>
      <c r="I55" s="8" t="s">
        <v>14</v>
      </c>
      <c r="J55" s="8" t="s">
        <v>96</v>
      </c>
      <c r="K55" s="8" t="s">
        <v>18</v>
      </c>
      <c r="L55" s="8" t="s">
        <v>64</v>
      </c>
      <c r="M55" s="8" t="s">
        <v>100</v>
      </c>
    </row>
    <row r="56">
      <c r="A56" s="5">
        <v>46284.36706341435</v>
      </c>
      <c r="B56" s="8" t="s">
        <v>18</v>
      </c>
      <c r="C56" s="8">
        <v>1.0</v>
      </c>
      <c r="D56" s="8" t="s">
        <v>95</v>
      </c>
      <c r="E56" s="8" t="s">
        <v>12</v>
      </c>
      <c r="F56" s="8" t="s">
        <v>13</v>
      </c>
      <c r="G56" s="8">
        <v>1.0</v>
      </c>
      <c r="H56" s="8">
        <v>1.0</v>
      </c>
      <c r="I56" s="8" t="s">
        <v>14</v>
      </c>
      <c r="J56" s="8" t="s">
        <v>96</v>
      </c>
      <c r="K56" s="8" t="s">
        <v>18</v>
      </c>
      <c r="L56" s="8" t="s">
        <v>81</v>
      </c>
      <c r="M56" s="8" t="s">
        <v>101</v>
      </c>
    </row>
    <row r="57">
      <c r="A57" s="5">
        <v>46284.36706959491</v>
      </c>
      <c r="B57" s="8" t="s">
        <v>18</v>
      </c>
      <c r="C57" s="8">
        <v>1.0</v>
      </c>
      <c r="D57" s="8" t="s">
        <v>95</v>
      </c>
      <c r="E57" s="8" t="s">
        <v>12</v>
      </c>
      <c r="F57" s="8" t="s">
        <v>13</v>
      </c>
      <c r="G57" s="8">
        <v>1.0</v>
      </c>
      <c r="H57" s="8">
        <v>1.0</v>
      </c>
      <c r="I57" s="8" t="s">
        <v>14</v>
      </c>
      <c r="J57" s="8" t="s">
        <v>96</v>
      </c>
      <c r="K57" s="8" t="s">
        <v>18</v>
      </c>
      <c r="L57" s="8" t="s">
        <v>66</v>
      </c>
      <c r="M57" s="8" t="s">
        <v>104</v>
      </c>
    </row>
    <row r="58">
      <c r="A58" s="5">
        <v>46284.367075567134</v>
      </c>
      <c r="B58" s="8" t="s">
        <v>18</v>
      </c>
      <c r="C58" s="8">
        <v>1.0</v>
      </c>
      <c r="D58" s="8" t="s">
        <v>95</v>
      </c>
      <c r="E58" s="8" t="s">
        <v>12</v>
      </c>
      <c r="F58" s="8" t="s">
        <v>13</v>
      </c>
      <c r="G58" s="8">
        <v>1.0</v>
      </c>
      <c r="H58" s="8">
        <v>1.0</v>
      </c>
      <c r="I58" s="8" t="s">
        <v>14</v>
      </c>
      <c r="J58" s="8" t="s">
        <v>96</v>
      </c>
      <c r="K58" s="8" t="s">
        <v>18</v>
      </c>
      <c r="L58" s="8" t="s">
        <v>83</v>
      </c>
      <c r="M58" s="8" t="s">
        <v>106</v>
      </c>
    </row>
    <row r="59">
      <c r="A59" s="5">
        <v>46284.36707997685</v>
      </c>
      <c r="B59" s="8" t="s">
        <v>18</v>
      </c>
      <c r="C59" s="8">
        <v>1.0</v>
      </c>
      <c r="D59" s="8" t="s">
        <v>95</v>
      </c>
      <c r="E59" s="8" t="s">
        <v>12</v>
      </c>
      <c r="F59" s="8" t="s">
        <v>13</v>
      </c>
      <c r="G59" s="8">
        <v>1.0</v>
      </c>
      <c r="H59" s="8">
        <v>1.0</v>
      </c>
      <c r="I59" s="8" t="s">
        <v>14</v>
      </c>
      <c r="J59" s="8" t="s">
        <v>96</v>
      </c>
      <c r="K59" s="8" t="s">
        <v>18</v>
      </c>
      <c r="L59" s="8" t="s">
        <v>75</v>
      </c>
      <c r="M59" s="8" t="s">
        <v>107</v>
      </c>
    </row>
    <row r="60">
      <c r="A60" s="5">
        <v>46284.367084247686</v>
      </c>
      <c r="B60" s="8" t="s">
        <v>18</v>
      </c>
      <c r="C60" s="8">
        <v>1.0</v>
      </c>
      <c r="D60" s="8" t="s">
        <v>95</v>
      </c>
      <c r="E60" s="8" t="s">
        <v>12</v>
      </c>
      <c r="F60" s="8" t="s">
        <v>13</v>
      </c>
      <c r="G60" s="8">
        <v>1.0</v>
      </c>
      <c r="H60" s="8">
        <v>1.0</v>
      </c>
      <c r="I60" s="8" t="s">
        <v>14</v>
      </c>
      <c r="J60" s="8" t="s">
        <v>96</v>
      </c>
      <c r="K60" s="8" t="s">
        <v>18</v>
      </c>
      <c r="L60" s="8" t="s">
        <v>60</v>
      </c>
      <c r="M60" s="8" t="s">
        <v>109</v>
      </c>
    </row>
    <row r="61">
      <c r="A61" s="5">
        <v>46284.36710638889</v>
      </c>
      <c r="B61" s="8" t="s">
        <v>18</v>
      </c>
      <c r="C61" s="8">
        <v>1.0</v>
      </c>
      <c r="D61" s="8" t="s">
        <v>95</v>
      </c>
      <c r="E61" s="8" t="s">
        <v>12</v>
      </c>
      <c r="F61" s="8" t="s">
        <v>13</v>
      </c>
      <c r="G61" s="8">
        <v>1.0</v>
      </c>
      <c r="H61" s="8">
        <v>1.0</v>
      </c>
      <c r="I61" s="8" t="s">
        <v>14</v>
      </c>
      <c r="J61" s="8" t="s">
        <v>96</v>
      </c>
      <c r="K61" s="8" t="s">
        <v>18</v>
      </c>
      <c r="L61" s="8" t="s">
        <v>79</v>
      </c>
      <c r="M61" s="8" t="s">
        <v>111</v>
      </c>
    </row>
    <row r="62">
      <c r="A62" s="5">
        <v>46284.36818612269</v>
      </c>
      <c r="B62" s="8" t="s">
        <v>49</v>
      </c>
      <c r="C62" s="8">
        <v>1.0</v>
      </c>
      <c r="D62" s="8" t="s">
        <v>95</v>
      </c>
      <c r="E62" s="8" t="s">
        <v>12</v>
      </c>
      <c r="F62" s="8" t="s">
        <v>13</v>
      </c>
      <c r="G62" s="8">
        <v>1.0</v>
      </c>
      <c r="H62" s="8">
        <v>1.0</v>
      </c>
      <c r="I62" s="8" t="s">
        <v>14</v>
      </c>
      <c r="J62" s="8" t="s">
        <v>96</v>
      </c>
      <c r="K62" s="8" t="s">
        <v>18</v>
      </c>
      <c r="L62" s="8" t="s">
        <v>81</v>
      </c>
      <c r="M62" s="8" t="s">
        <v>112</v>
      </c>
    </row>
    <row r="63">
      <c r="A63" s="5">
        <v>46284.36818887731</v>
      </c>
      <c r="B63" s="8" t="s">
        <v>49</v>
      </c>
      <c r="C63" s="8">
        <v>1.0</v>
      </c>
      <c r="D63" s="8" t="s">
        <v>95</v>
      </c>
      <c r="E63" s="8" t="s">
        <v>12</v>
      </c>
      <c r="F63" s="8" t="s">
        <v>13</v>
      </c>
      <c r="G63" s="8">
        <v>1.0</v>
      </c>
      <c r="H63" s="8">
        <v>1.0</v>
      </c>
      <c r="I63" s="8" t="s">
        <v>14</v>
      </c>
      <c r="J63" s="8" t="s">
        <v>96</v>
      </c>
      <c r="K63" s="8" t="s">
        <v>18</v>
      </c>
      <c r="L63" s="8" t="s">
        <v>62</v>
      </c>
      <c r="M63" s="8" t="s">
        <v>115</v>
      </c>
    </row>
    <row r="64">
      <c r="A64" s="5">
        <v>46284.36819475694</v>
      </c>
      <c r="B64" s="8" t="s">
        <v>49</v>
      </c>
      <c r="C64" s="8">
        <v>1.0</v>
      </c>
      <c r="D64" s="8" t="s">
        <v>95</v>
      </c>
      <c r="E64" s="8" t="s">
        <v>12</v>
      </c>
      <c r="F64" s="8" t="s">
        <v>13</v>
      </c>
      <c r="G64" s="8">
        <v>1.0</v>
      </c>
      <c r="H64" s="8">
        <v>1.0</v>
      </c>
      <c r="I64" s="8" t="s">
        <v>14</v>
      </c>
      <c r="J64" s="8" t="s">
        <v>96</v>
      </c>
      <c r="K64" s="8" t="s">
        <v>18</v>
      </c>
      <c r="L64" s="8" t="s">
        <v>60</v>
      </c>
      <c r="M64" s="8" t="s">
        <v>117</v>
      </c>
    </row>
    <row r="65">
      <c r="A65" s="5">
        <v>46284.368202453705</v>
      </c>
      <c r="B65" s="8" t="s">
        <v>49</v>
      </c>
      <c r="C65" s="8">
        <v>1.0</v>
      </c>
      <c r="D65" s="8" t="s">
        <v>95</v>
      </c>
      <c r="E65" s="8" t="s">
        <v>12</v>
      </c>
      <c r="F65" s="8" t="s">
        <v>13</v>
      </c>
      <c r="G65" s="8">
        <v>1.0</v>
      </c>
      <c r="H65" s="8">
        <v>1.0</v>
      </c>
      <c r="I65" s="8" t="s">
        <v>14</v>
      </c>
      <c r="J65" s="8" t="s">
        <v>96</v>
      </c>
      <c r="K65" s="8" t="s">
        <v>18</v>
      </c>
      <c r="L65" s="8" t="s">
        <v>75</v>
      </c>
      <c r="M65" s="8" t="s">
        <v>118</v>
      </c>
    </row>
    <row r="66">
      <c r="A66" s="5">
        <v>46284.36820675926</v>
      </c>
      <c r="B66" s="8" t="s">
        <v>49</v>
      </c>
      <c r="C66" s="8">
        <v>1.0</v>
      </c>
      <c r="D66" s="8" t="s">
        <v>95</v>
      </c>
      <c r="E66" s="8" t="s">
        <v>12</v>
      </c>
      <c r="F66" s="8" t="s">
        <v>13</v>
      </c>
      <c r="G66" s="8">
        <v>1.0</v>
      </c>
      <c r="H66" s="8">
        <v>1.0</v>
      </c>
      <c r="I66" s="8" t="s">
        <v>14</v>
      </c>
      <c r="J66" s="8" t="s">
        <v>96</v>
      </c>
      <c r="K66" s="8" t="s">
        <v>18</v>
      </c>
      <c r="L66" s="8" t="s">
        <v>64</v>
      </c>
      <c r="M66" s="8" t="s">
        <v>119</v>
      </c>
    </row>
    <row r="67">
      <c r="A67" s="5">
        <v>46284.36821216435</v>
      </c>
      <c r="B67" s="8" t="s">
        <v>49</v>
      </c>
      <c r="C67" s="8">
        <v>1.0</v>
      </c>
      <c r="D67" s="8" t="s">
        <v>95</v>
      </c>
      <c r="E67" s="8" t="s">
        <v>12</v>
      </c>
      <c r="F67" s="8" t="s">
        <v>13</v>
      </c>
      <c r="G67" s="8">
        <v>1.0</v>
      </c>
      <c r="H67" s="8">
        <v>1.0</v>
      </c>
      <c r="I67" s="8" t="s">
        <v>14</v>
      </c>
      <c r="J67" s="8" t="s">
        <v>96</v>
      </c>
      <c r="K67" s="8" t="s">
        <v>18</v>
      </c>
      <c r="L67" s="8" t="s">
        <v>58</v>
      </c>
      <c r="M67" s="8" t="s">
        <v>120</v>
      </c>
    </row>
    <row r="68">
      <c r="A68" s="5">
        <v>46284.368217696756</v>
      </c>
      <c r="B68" s="8" t="s">
        <v>49</v>
      </c>
      <c r="C68" s="8">
        <v>1.0</v>
      </c>
      <c r="D68" s="8" t="s">
        <v>95</v>
      </c>
      <c r="E68" s="8" t="s">
        <v>12</v>
      </c>
      <c r="F68" s="8" t="s">
        <v>13</v>
      </c>
      <c r="G68" s="8">
        <v>1.0</v>
      </c>
      <c r="H68" s="8">
        <v>1.0</v>
      </c>
      <c r="I68" s="8" t="s">
        <v>14</v>
      </c>
      <c r="J68" s="8" t="s">
        <v>96</v>
      </c>
      <c r="K68" s="8" t="s">
        <v>18</v>
      </c>
      <c r="L68" s="8" t="s">
        <v>66</v>
      </c>
      <c r="M68" s="8" t="s">
        <v>121</v>
      </c>
    </row>
    <row r="69">
      <c r="A69" s="5">
        <v>46284.3682225</v>
      </c>
      <c r="B69" s="8" t="s">
        <v>49</v>
      </c>
      <c r="C69" s="8">
        <v>1.0</v>
      </c>
      <c r="D69" s="8" t="s">
        <v>95</v>
      </c>
      <c r="E69" s="8" t="s">
        <v>12</v>
      </c>
      <c r="F69" s="8" t="s">
        <v>13</v>
      </c>
      <c r="G69" s="8">
        <v>1.0</v>
      </c>
      <c r="H69" s="8">
        <v>1.0</v>
      </c>
      <c r="I69" s="8" t="s">
        <v>14</v>
      </c>
      <c r="J69" s="8" t="s">
        <v>96</v>
      </c>
      <c r="K69" s="8" t="s">
        <v>18</v>
      </c>
      <c r="L69" s="8" t="s">
        <v>83</v>
      </c>
      <c r="M69" s="8" t="s">
        <v>123</v>
      </c>
    </row>
    <row r="70">
      <c r="A70" s="5">
        <v>46284.36822831018</v>
      </c>
      <c r="B70" s="8" t="s">
        <v>49</v>
      </c>
      <c r="C70" s="8">
        <v>1.0</v>
      </c>
      <c r="D70" s="8" t="s">
        <v>95</v>
      </c>
      <c r="E70" s="8" t="s">
        <v>12</v>
      </c>
      <c r="F70" s="8" t="s">
        <v>13</v>
      </c>
      <c r="G70" s="8">
        <v>1.0</v>
      </c>
      <c r="H70" s="8">
        <v>1.0</v>
      </c>
      <c r="I70" s="8" t="s">
        <v>14</v>
      </c>
      <c r="J70" s="8" t="s">
        <v>96</v>
      </c>
      <c r="K70" s="8" t="s">
        <v>18</v>
      </c>
      <c r="L70" s="8" t="s">
        <v>79</v>
      </c>
      <c r="M70" s="8" t="s">
        <v>125</v>
      </c>
    </row>
    <row r="71">
      <c r="A71" s="5">
        <v>46284.36823412037</v>
      </c>
      <c r="B71" s="8" t="s">
        <v>49</v>
      </c>
      <c r="C71" s="8">
        <v>1.0</v>
      </c>
      <c r="D71" s="8" t="s">
        <v>95</v>
      </c>
      <c r="E71" s="8" t="s">
        <v>12</v>
      </c>
      <c r="F71" s="8" t="s">
        <v>13</v>
      </c>
      <c r="G71" s="8">
        <v>1.0</v>
      </c>
      <c r="H71" s="8">
        <v>1.0</v>
      </c>
      <c r="I71" s="8" t="s">
        <v>14</v>
      </c>
      <c r="J71" s="8" t="s">
        <v>96</v>
      </c>
      <c r="K71" s="8" t="s">
        <v>18</v>
      </c>
      <c r="L71" s="8" t="s">
        <v>69</v>
      </c>
      <c r="M71" s="8" t="s">
        <v>126</v>
      </c>
    </row>
    <row r="72">
      <c r="A72" s="5">
        <v>46284.37477572917</v>
      </c>
      <c r="B72" s="8" t="s">
        <v>127</v>
      </c>
      <c r="C72" s="8">
        <v>1.0</v>
      </c>
      <c r="D72" s="8" t="s">
        <v>95</v>
      </c>
      <c r="E72" s="8" t="s">
        <v>12</v>
      </c>
      <c r="F72" s="8" t="s">
        <v>13</v>
      </c>
      <c r="G72" s="8">
        <v>1.0</v>
      </c>
      <c r="H72" s="8">
        <v>1.0</v>
      </c>
      <c r="I72" s="8" t="s">
        <v>14</v>
      </c>
      <c r="J72" s="8" t="s">
        <v>96</v>
      </c>
      <c r="K72" s="8" t="s">
        <v>18</v>
      </c>
      <c r="L72" s="8" t="s">
        <v>69</v>
      </c>
      <c r="M72" s="8" t="s">
        <v>128</v>
      </c>
    </row>
    <row r="73">
      <c r="A73" s="5">
        <v>46284.374779652775</v>
      </c>
      <c r="B73" s="8" t="s">
        <v>127</v>
      </c>
      <c r="C73" s="8">
        <v>1.0</v>
      </c>
      <c r="D73" s="8" t="s">
        <v>95</v>
      </c>
      <c r="E73" s="8" t="s">
        <v>12</v>
      </c>
      <c r="F73" s="8" t="s">
        <v>13</v>
      </c>
      <c r="G73" s="8">
        <v>1.0</v>
      </c>
      <c r="H73" s="8">
        <v>1.0</v>
      </c>
      <c r="I73" s="8" t="s">
        <v>14</v>
      </c>
      <c r="J73" s="8" t="s">
        <v>96</v>
      </c>
      <c r="K73" s="8" t="s">
        <v>18</v>
      </c>
      <c r="L73" s="8" t="s">
        <v>79</v>
      </c>
      <c r="M73" s="8" t="s">
        <v>129</v>
      </c>
    </row>
    <row r="74">
      <c r="A74" s="5">
        <v>46284.37479033565</v>
      </c>
      <c r="B74" s="8" t="s">
        <v>127</v>
      </c>
      <c r="C74" s="8">
        <v>1.0</v>
      </c>
      <c r="D74" s="8" t="s">
        <v>95</v>
      </c>
      <c r="E74" s="8" t="s">
        <v>12</v>
      </c>
      <c r="F74" s="8" t="s">
        <v>13</v>
      </c>
      <c r="G74" s="8">
        <v>1.0</v>
      </c>
      <c r="H74" s="8">
        <v>1.0</v>
      </c>
      <c r="I74" s="8" t="s">
        <v>14</v>
      </c>
      <c r="J74" s="8" t="s">
        <v>96</v>
      </c>
      <c r="K74" s="8" t="s">
        <v>18</v>
      </c>
      <c r="L74" s="8" t="s">
        <v>81</v>
      </c>
      <c r="M74" s="8" t="s">
        <v>132</v>
      </c>
    </row>
    <row r="75">
      <c r="A75" s="5">
        <v>46284.37479785879</v>
      </c>
      <c r="B75" s="8" t="s">
        <v>127</v>
      </c>
      <c r="C75" s="8">
        <v>1.0</v>
      </c>
      <c r="D75" s="8" t="s">
        <v>95</v>
      </c>
      <c r="E75" s="8" t="s">
        <v>12</v>
      </c>
      <c r="F75" s="8" t="s">
        <v>13</v>
      </c>
      <c r="G75" s="8">
        <v>1.0</v>
      </c>
      <c r="H75" s="8">
        <v>1.0</v>
      </c>
      <c r="I75" s="8" t="s">
        <v>14</v>
      </c>
      <c r="J75" s="8" t="s">
        <v>96</v>
      </c>
      <c r="K75" s="8" t="s">
        <v>18</v>
      </c>
      <c r="L75" s="8" t="s">
        <v>83</v>
      </c>
      <c r="M75" s="8" t="s">
        <v>134</v>
      </c>
    </row>
    <row r="76">
      <c r="A76" s="5">
        <v>46284.374824363425</v>
      </c>
      <c r="B76" s="8" t="s">
        <v>127</v>
      </c>
      <c r="C76" s="8">
        <v>1.0</v>
      </c>
      <c r="D76" s="8" t="s">
        <v>95</v>
      </c>
      <c r="E76" s="8" t="s">
        <v>12</v>
      </c>
      <c r="F76" s="8" t="s">
        <v>13</v>
      </c>
      <c r="G76" s="8">
        <v>1.0</v>
      </c>
      <c r="H76" s="8">
        <v>1.0</v>
      </c>
      <c r="I76" s="8" t="s">
        <v>14</v>
      </c>
      <c r="J76" s="8" t="s">
        <v>96</v>
      </c>
      <c r="K76" s="8" t="s">
        <v>18</v>
      </c>
      <c r="L76" s="8" t="s">
        <v>66</v>
      </c>
      <c r="M76" s="8" t="s">
        <v>135</v>
      </c>
    </row>
    <row r="77">
      <c r="A77" s="5">
        <v>46284.37482924768</v>
      </c>
      <c r="B77" s="8" t="s">
        <v>127</v>
      </c>
      <c r="C77" s="8">
        <v>1.0</v>
      </c>
      <c r="D77" s="8" t="s">
        <v>95</v>
      </c>
      <c r="E77" s="8" t="s">
        <v>12</v>
      </c>
      <c r="F77" s="8" t="s">
        <v>13</v>
      </c>
      <c r="G77" s="8">
        <v>1.0</v>
      </c>
      <c r="H77" s="8">
        <v>1.0</v>
      </c>
      <c r="I77" s="8" t="s">
        <v>14</v>
      </c>
      <c r="J77" s="8" t="s">
        <v>96</v>
      </c>
      <c r="K77" s="8" t="s">
        <v>18</v>
      </c>
      <c r="L77" s="8" t="s">
        <v>64</v>
      </c>
      <c r="M77" s="8" t="s">
        <v>136</v>
      </c>
    </row>
    <row r="78">
      <c r="A78" s="5">
        <v>46284.374833009264</v>
      </c>
      <c r="B78" s="8" t="s">
        <v>127</v>
      </c>
      <c r="C78" s="8">
        <v>1.0</v>
      </c>
      <c r="D78" s="8" t="s">
        <v>95</v>
      </c>
      <c r="E78" s="8" t="s">
        <v>12</v>
      </c>
      <c r="F78" s="8" t="s">
        <v>13</v>
      </c>
      <c r="G78" s="8">
        <v>1.0</v>
      </c>
      <c r="H78" s="8">
        <v>1.0</v>
      </c>
      <c r="I78" s="8" t="s">
        <v>14</v>
      </c>
      <c r="J78" s="8" t="s">
        <v>96</v>
      </c>
      <c r="K78" s="8" t="s">
        <v>18</v>
      </c>
      <c r="L78" s="8" t="s">
        <v>75</v>
      </c>
      <c r="M78" s="8" t="s">
        <v>138</v>
      </c>
    </row>
    <row r="79">
      <c r="A79" s="5">
        <v>46284.37483799769</v>
      </c>
      <c r="B79" s="8" t="s">
        <v>127</v>
      </c>
      <c r="C79" s="8">
        <v>1.0</v>
      </c>
      <c r="D79" s="8" t="s">
        <v>95</v>
      </c>
      <c r="E79" s="8" t="s">
        <v>12</v>
      </c>
      <c r="F79" s="8" t="s">
        <v>13</v>
      </c>
      <c r="G79" s="8">
        <v>1.0</v>
      </c>
      <c r="H79" s="8">
        <v>1.0</v>
      </c>
      <c r="I79" s="8" t="s">
        <v>14</v>
      </c>
      <c r="J79" s="8" t="s">
        <v>96</v>
      </c>
      <c r="K79" s="8" t="s">
        <v>18</v>
      </c>
      <c r="L79" s="8" t="s">
        <v>60</v>
      </c>
      <c r="M79" s="8" t="s">
        <v>141</v>
      </c>
    </row>
    <row r="80">
      <c r="A80" s="5">
        <v>46284.37484138889</v>
      </c>
      <c r="B80" s="8" t="s">
        <v>127</v>
      </c>
      <c r="C80" s="8">
        <v>1.0</v>
      </c>
      <c r="D80" s="8" t="s">
        <v>95</v>
      </c>
      <c r="E80" s="8" t="s">
        <v>12</v>
      </c>
      <c r="F80" s="8" t="s">
        <v>13</v>
      </c>
      <c r="G80" s="8">
        <v>1.0</v>
      </c>
      <c r="H80" s="8">
        <v>1.0</v>
      </c>
      <c r="I80" s="8" t="s">
        <v>14</v>
      </c>
      <c r="J80" s="8" t="s">
        <v>96</v>
      </c>
      <c r="K80" s="8" t="s">
        <v>18</v>
      </c>
      <c r="L80" s="8" t="s">
        <v>62</v>
      </c>
      <c r="M80" s="8" t="s">
        <v>142</v>
      </c>
    </row>
    <row r="81">
      <c r="A81" s="5">
        <v>46284.37484855324</v>
      </c>
      <c r="B81" s="8" t="s">
        <v>127</v>
      </c>
      <c r="C81" s="8">
        <v>1.0</v>
      </c>
      <c r="D81" s="8" t="s">
        <v>95</v>
      </c>
      <c r="E81" s="8" t="s">
        <v>12</v>
      </c>
      <c r="F81" s="8" t="s">
        <v>13</v>
      </c>
      <c r="G81" s="8">
        <v>1.0</v>
      </c>
      <c r="H81" s="8">
        <v>1.0</v>
      </c>
      <c r="I81" s="8" t="s">
        <v>14</v>
      </c>
      <c r="J81" s="8" t="s">
        <v>96</v>
      </c>
      <c r="K81" s="8" t="s">
        <v>18</v>
      </c>
      <c r="L81" s="8" t="s">
        <v>58</v>
      </c>
      <c r="M81" s="8" t="s">
        <v>143</v>
      </c>
    </row>
    <row r="82">
      <c r="A82" s="5">
        <v>46284.38519960648</v>
      </c>
      <c r="B82" s="8" t="s">
        <v>18</v>
      </c>
      <c r="C82" s="8">
        <v>2.0</v>
      </c>
      <c r="D82" s="8" t="s">
        <v>95</v>
      </c>
      <c r="E82" s="8" t="s">
        <v>12</v>
      </c>
      <c r="F82" s="8" t="s">
        <v>13</v>
      </c>
      <c r="G82" s="8">
        <v>1.0</v>
      </c>
      <c r="H82" s="8">
        <v>1.0</v>
      </c>
      <c r="I82" s="8" t="s">
        <v>14</v>
      </c>
      <c r="J82" s="8" t="s">
        <v>96</v>
      </c>
      <c r="K82" s="8" t="s">
        <v>18</v>
      </c>
      <c r="L82" s="8">
        <v>0.0</v>
      </c>
    </row>
    <row r="83">
      <c r="A83" s="5">
        <v>46284.68946480324</v>
      </c>
      <c r="B83" s="8" t="s">
        <v>49</v>
      </c>
      <c r="C83" s="8">
        <v>2.0</v>
      </c>
      <c r="D83" s="8" t="s">
        <v>11</v>
      </c>
      <c r="E83" s="8" t="s">
        <v>12</v>
      </c>
      <c r="F83" s="8" t="s">
        <v>13</v>
      </c>
      <c r="G83" s="8">
        <v>1.0</v>
      </c>
      <c r="H83" s="8">
        <v>1.0</v>
      </c>
      <c r="I83" s="8" t="s">
        <v>14</v>
      </c>
      <c r="J83" s="8" t="s">
        <v>96</v>
      </c>
      <c r="K83" s="8" t="s">
        <v>18</v>
      </c>
      <c r="L83" s="8">
        <v>0.0</v>
      </c>
    </row>
    <row r="84">
      <c r="A84" s="5">
        <v>46284.70506104166</v>
      </c>
      <c r="B84" s="8" t="s">
        <v>145</v>
      </c>
      <c r="C84" s="8">
        <v>1.0</v>
      </c>
      <c r="D84" s="8" t="s">
        <v>11</v>
      </c>
      <c r="E84" s="8" t="s">
        <v>12</v>
      </c>
      <c r="F84" s="8" t="s">
        <v>13</v>
      </c>
      <c r="G84" s="8">
        <v>1.0</v>
      </c>
      <c r="H84" s="8">
        <v>1.0</v>
      </c>
      <c r="I84" s="8" t="s">
        <v>14</v>
      </c>
      <c r="J84" s="8" t="s">
        <v>96</v>
      </c>
      <c r="K84" s="8" t="s">
        <v>18</v>
      </c>
      <c r="L84" s="8" t="s">
        <v>58</v>
      </c>
      <c r="M84" s="8" t="s">
        <v>148</v>
      </c>
    </row>
    <row r="85">
      <c r="A85" s="5">
        <v>46284.70506104166</v>
      </c>
      <c r="B85" s="8" t="s">
        <v>145</v>
      </c>
      <c r="C85" s="8">
        <v>1.0</v>
      </c>
      <c r="D85" s="8" t="s">
        <v>11</v>
      </c>
      <c r="E85" s="8" t="s">
        <v>12</v>
      </c>
      <c r="F85" s="8" t="s">
        <v>13</v>
      </c>
      <c r="G85" s="8">
        <v>1.0</v>
      </c>
      <c r="H85" s="8">
        <v>1.0</v>
      </c>
      <c r="I85" s="8" t="s">
        <v>14</v>
      </c>
      <c r="J85" s="8" t="s">
        <v>96</v>
      </c>
      <c r="K85" s="8" t="s">
        <v>18</v>
      </c>
      <c r="L85" s="8" t="s">
        <v>66</v>
      </c>
      <c r="M85" s="8" t="s">
        <v>149</v>
      </c>
    </row>
    <row r="86">
      <c r="A86" s="5">
        <v>46284.70506104166</v>
      </c>
      <c r="B86" s="8" t="s">
        <v>145</v>
      </c>
      <c r="C86" s="8">
        <v>1.0</v>
      </c>
      <c r="D86" s="8" t="s">
        <v>11</v>
      </c>
      <c r="E86" s="8" t="s">
        <v>12</v>
      </c>
      <c r="F86" s="8" t="s">
        <v>13</v>
      </c>
      <c r="G86" s="8">
        <v>1.0</v>
      </c>
      <c r="H86" s="8">
        <v>1.0</v>
      </c>
      <c r="I86" s="8" t="s">
        <v>14</v>
      </c>
      <c r="J86" s="8" t="s">
        <v>96</v>
      </c>
      <c r="K86" s="8" t="s">
        <v>18</v>
      </c>
      <c r="L86" s="8" t="s">
        <v>62</v>
      </c>
      <c r="M86" s="8" t="s">
        <v>150</v>
      </c>
    </row>
    <row r="87">
      <c r="A87" s="5">
        <v>46284.70506104166</v>
      </c>
      <c r="B87" s="8" t="s">
        <v>145</v>
      </c>
      <c r="C87" s="8">
        <v>1.0</v>
      </c>
      <c r="D87" s="8" t="s">
        <v>11</v>
      </c>
      <c r="E87" s="8" t="s">
        <v>12</v>
      </c>
      <c r="F87" s="8" t="s">
        <v>13</v>
      </c>
      <c r="G87" s="8">
        <v>1.0</v>
      </c>
      <c r="H87" s="8">
        <v>1.0</v>
      </c>
      <c r="I87" s="8" t="s">
        <v>14</v>
      </c>
      <c r="J87" s="8" t="s">
        <v>96</v>
      </c>
      <c r="K87" s="8" t="s">
        <v>18</v>
      </c>
      <c r="L87" s="8" t="s">
        <v>69</v>
      </c>
      <c r="M87" s="8" t="s">
        <v>154</v>
      </c>
    </row>
    <row r="88">
      <c r="A88" s="5">
        <v>46284.70506104166</v>
      </c>
      <c r="B88" s="8" t="s">
        <v>145</v>
      </c>
      <c r="C88" s="8">
        <v>1.0</v>
      </c>
      <c r="D88" s="8" t="s">
        <v>11</v>
      </c>
      <c r="E88" s="8" t="s">
        <v>12</v>
      </c>
      <c r="F88" s="8" t="s">
        <v>13</v>
      </c>
      <c r="G88" s="8">
        <v>1.0</v>
      </c>
      <c r="H88" s="8">
        <v>1.0</v>
      </c>
      <c r="I88" s="8" t="s">
        <v>14</v>
      </c>
      <c r="J88" s="8" t="s">
        <v>96</v>
      </c>
      <c r="K88" s="8" t="s">
        <v>18</v>
      </c>
      <c r="L88" s="8" t="s">
        <v>75</v>
      </c>
      <c r="M88" s="8" t="s">
        <v>155</v>
      </c>
    </row>
    <row r="89">
      <c r="A89" s="5">
        <v>46284.70506104166</v>
      </c>
      <c r="B89" s="8" t="s">
        <v>145</v>
      </c>
      <c r="C89" s="8">
        <v>1.0</v>
      </c>
      <c r="D89" s="8" t="s">
        <v>11</v>
      </c>
      <c r="E89" s="8" t="s">
        <v>12</v>
      </c>
      <c r="F89" s="8" t="s">
        <v>13</v>
      </c>
      <c r="G89" s="8">
        <v>1.0</v>
      </c>
      <c r="H89" s="8">
        <v>1.0</v>
      </c>
      <c r="I89" s="8" t="s">
        <v>14</v>
      </c>
      <c r="J89" s="8" t="s">
        <v>96</v>
      </c>
      <c r="K89" s="8" t="s">
        <v>18</v>
      </c>
      <c r="L89" s="8" t="s">
        <v>60</v>
      </c>
      <c r="M89" s="8" t="s">
        <v>156</v>
      </c>
    </row>
    <row r="90">
      <c r="A90" s="5">
        <v>46284.70506104166</v>
      </c>
      <c r="B90" s="8" t="s">
        <v>145</v>
      </c>
      <c r="C90" s="8">
        <v>1.0</v>
      </c>
      <c r="D90" s="8" t="s">
        <v>11</v>
      </c>
      <c r="E90" s="8" t="s">
        <v>12</v>
      </c>
      <c r="F90" s="8" t="s">
        <v>13</v>
      </c>
      <c r="G90" s="8">
        <v>1.0</v>
      </c>
      <c r="H90" s="8">
        <v>1.0</v>
      </c>
      <c r="I90" s="8" t="s">
        <v>14</v>
      </c>
      <c r="J90" s="8" t="s">
        <v>96</v>
      </c>
      <c r="K90" s="8" t="s">
        <v>18</v>
      </c>
      <c r="L90" s="8" t="s">
        <v>64</v>
      </c>
      <c r="M90" s="8" t="s">
        <v>160</v>
      </c>
    </row>
    <row r="91">
      <c r="A91" s="5">
        <v>46284.70506104166</v>
      </c>
      <c r="B91" s="8" t="s">
        <v>145</v>
      </c>
      <c r="C91" s="8">
        <v>1.0</v>
      </c>
      <c r="D91" s="8" t="s">
        <v>11</v>
      </c>
      <c r="E91" s="8" t="s">
        <v>12</v>
      </c>
      <c r="F91" s="8" t="s">
        <v>13</v>
      </c>
      <c r="G91" s="8">
        <v>1.0</v>
      </c>
      <c r="H91" s="8">
        <v>1.0</v>
      </c>
      <c r="I91" s="8" t="s">
        <v>14</v>
      </c>
      <c r="J91" s="8" t="s">
        <v>96</v>
      </c>
      <c r="K91" s="8" t="s">
        <v>18</v>
      </c>
      <c r="L91" s="8" t="s">
        <v>79</v>
      </c>
      <c r="M91" s="8" t="s">
        <v>161</v>
      </c>
    </row>
    <row r="92">
      <c r="A92" s="5">
        <v>46284.70506104166</v>
      </c>
      <c r="B92" s="8" t="s">
        <v>145</v>
      </c>
      <c r="C92" s="8">
        <v>1.0</v>
      </c>
      <c r="D92" s="8" t="s">
        <v>11</v>
      </c>
      <c r="E92" s="8" t="s">
        <v>12</v>
      </c>
      <c r="F92" s="8" t="s">
        <v>13</v>
      </c>
      <c r="G92" s="8">
        <v>1.0</v>
      </c>
      <c r="H92" s="8">
        <v>1.0</v>
      </c>
      <c r="I92" s="8" t="s">
        <v>14</v>
      </c>
      <c r="J92" s="8" t="s">
        <v>96</v>
      </c>
      <c r="K92" s="8" t="s">
        <v>18</v>
      </c>
      <c r="L92" s="8" t="s">
        <v>81</v>
      </c>
      <c r="M92" s="8" t="s">
        <v>162</v>
      </c>
    </row>
    <row r="93">
      <c r="A93" s="5">
        <v>46284.70506104166</v>
      </c>
      <c r="B93" s="8" t="s">
        <v>145</v>
      </c>
      <c r="C93" s="8">
        <v>1.0</v>
      </c>
      <c r="D93" s="8" t="s">
        <v>11</v>
      </c>
      <c r="E93" s="8" t="s">
        <v>12</v>
      </c>
      <c r="F93" s="8" t="s">
        <v>13</v>
      </c>
      <c r="G93" s="8">
        <v>1.0</v>
      </c>
      <c r="H93" s="8">
        <v>1.0</v>
      </c>
      <c r="I93" s="8" t="s">
        <v>14</v>
      </c>
      <c r="J93" s="8" t="s">
        <v>96</v>
      </c>
      <c r="K93" s="8" t="s">
        <v>18</v>
      </c>
      <c r="L93" s="8" t="s">
        <v>83</v>
      </c>
      <c r="M93" s="8" t="s">
        <v>161</v>
      </c>
    </row>
    <row r="94">
      <c r="A94" s="5">
        <v>46284.71065490741</v>
      </c>
      <c r="B94" s="8" t="s">
        <v>164</v>
      </c>
      <c r="C94" s="8">
        <v>1.0</v>
      </c>
      <c r="D94" s="8" t="s">
        <v>11</v>
      </c>
      <c r="E94" s="8" t="s">
        <v>12</v>
      </c>
      <c r="F94" s="8" t="s">
        <v>13</v>
      </c>
      <c r="G94" s="8">
        <v>1.0</v>
      </c>
      <c r="H94" s="8">
        <v>1.0</v>
      </c>
      <c r="I94" s="8" t="s">
        <v>14</v>
      </c>
      <c r="J94" s="8" t="s">
        <v>96</v>
      </c>
      <c r="K94" s="8" t="s">
        <v>18</v>
      </c>
      <c r="L94" s="8" t="s">
        <v>64</v>
      </c>
      <c r="M94" s="8" t="s">
        <v>160</v>
      </c>
    </row>
    <row r="95">
      <c r="A95" s="5">
        <v>46284.71065490741</v>
      </c>
      <c r="B95" s="8" t="s">
        <v>164</v>
      </c>
      <c r="C95" s="8">
        <v>1.0</v>
      </c>
      <c r="D95" s="8" t="s">
        <v>11</v>
      </c>
      <c r="E95" s="8" t="s">
        <v>12</v>
      </c>
      <c r="F95" s="8" t="s">
        <v>13</v>
      </c>
      <c r="G95" s="8">
        <v>1.0</v>
      </c>
      <c r="H95" s="8">
        <v>1.0</v>
      </c>
      <c r="I95" s="8" t="s">
        <v>14</v>
      </c>
      <c r="J95" s="8" t="s">
        <v>96</v>
      </c>
      <c r="K95" s="8" t="s">
        <v>18</v>
      </c>
      <c r="L95" s="8" t="s">
        <v>75</v>
      </c>
      <c r="M95" s="8" t="s">
        <v>155</v>
      </c>
    </row>
    <row r="96">
      <c r="A96" s="5">
        <v>46284.71065490741</v>
      </c>
      <c r="B96" s="8" t="s">
        <v>164</v>
      </c>
      <c r="C96" s="8">
        <v>1.0</v>
      </c>
      <c r="D96" s="8" t="s">
        <v>11</v>
      </c>
      <c r="E96" s="8" t="s">
        <v>12</v>
      </c>
      <c r="F96" s="8" t="s">
        <v>13</v>
      </c>
      <c r="G96" s="8">
        <v>1.0</v>
      </c>
      <c r="H96" s="8">
        <v>1.0</v>
      </c>
      <c r="I96" s="8" t="s">
        <v>14</v>
      </c>
      <c r="J96" s="8" t="s">
        <v>96</v>
      </c>
      <c r="K96" s="8" t="s">
        <v>18</v>
      </c>
      <c r="L96" s="8" t="s">
        <v>66</v>
      </c>
      <c r="M96" s="8" t="s">
        <v>149</v>
      </c>
    </row>
    <row r="97">
      <c r="A97" s="5">
        <v>46284.71065490741</v>
      </c>
      <c r="B97" s="8" t="s">
        <v>164</v>
      </c>
      <c r="C97" s="8">
        <v>1.0</v>
      </c>
      <c r="D97" s="8" t="s">
        <v>11</v>
      </c>
      <c r="E97" s="8" t="s">
        <v>12</v>
      </c>
      <c r="F97" s="8" t="s">
        <v>13</v>
      </c>
      <c r="G97" s="8">
        <v>1.0</v>
      </c>
      <c r="H97" s="8">
        <v>1.0</v>
      </c>
      <c r="I97" s="8" t="s">
        <v>14</v>
      </c>
      <c r="J97" s="8" t="s">
        <v>96</v>
      </c>
      <c r="K97" s="8" t="s">
        <v>18</v>
      </c>
      <c r="L97" s="8" t="s">
        <v>58</v>
      </c>
      <c r="M97" s="8" t="s">
        <v>167</v>
      </c>
    </row>
    <row r="98">
      <c r="A98" s="5">
        <v>46284.71065490741</v>
      </c>
      <c r="B98" s="8" t="s">
        <v>164</v>
      </c>
      <c r="C98" s="8">
        <v>1.0</v>
      </c>
      <c r="D98" s="8" t="s">
        <v>11</v>
      </c>
      <c r="E98" s="8" t="s">
        <v>12</v>
      </c>
      <c r="F98" s="8" t="s">
        <v>13</v>
      </c>
      <c r="G98" s="8">
        <v>1.0</v>
      </c>
      <c r="H98" s="8">
        <v>1.0</v>
      </c>
      <c r="I98" s="8" t="s">
        <v>14</v>
      </c>
      <c r="J98" s="8" t="s">
        <v>96</v>
      </c>
      <c r="K98" s="8" t="s">
        <v>18</v>
      </c>
      <c r="L98" s="8" t="s">
        <v>79</v>
      </c>
      <c r="M98" s="8" t="s">
        <v>161</v>
      </c>
    </row>
    <row r="99">
      <c r="A99" s="5">
        <v>46284.71065490741</v>
      </c>
      <c r="B99" s="8" t="s">
        <v>164</v>
      </c>
      <c r="C99" s="8">
        <v>1.0</v>
      </c>
      <c r="D99" s="8" t="s">
        <v>11</v>
      </c>
      <c r="E99" s="8" t="s">
        <v>12</v>
      </c>
      <c r="F99" s="8" t="s">
        <v>13</v>
      </c>
      <c r="G99" s="8">
        <v>1.0</v>
      </c>
      <c r="H99" s="8">
        <v>1.0</v>
      </c>
      <c r="I99" s="8" t="s">
        <v>14</v>
      </c>
      <c r="J99" s="8" t="s">
        <v>96</v>
      </c>
      <c r="K99" s="8" t="s">
        <v>18</v>
      </c>
      <c r="L99" s="8" t="s">
        <v>69</v>
      </c>
      <c r="M99" s="8" t="s">
        <v>154</v>
      </c>
    </row>
    <row r="100">
      <c r="A100" s="5">
        <v>46284.71065490741</v>
      </c>
      <c r="B100" s="8" t="s">
        <v>164</v>
      </c>
      <c r="C100" s="8">
        <v>1.0</v>
      </c>
      <c r="D100" s="8" t="s">
        <v>11</v>
      </c>
      <c r="E100" s="8" t="s">
        <v>12</v>
      </c>
      <c r="F100" s="8" t="s">
        <v>13</v>
      </c>
      <c r="G100" s="8">
        <v>1.0</v>
      </c>
      <c r="H100" s="8">
        <v>1.0</v>
      </c>
      <c r="I100" s="8" t="s">
        <v>14</v>
      </c>
      <c r="J100" s="8" t="s">
        <v>96</v>
      </c>
      <c r="K100" s="8" t="s">
        <v>18</v>
      </c>
      <c r="L100" s="8" t="s">
        <v>60</v>
      </c>
      <c r="M100" s="8" t="s">
        <v>156</v>
      </c>
    </row>
    <row r="101">
      <c r="A101" s="5">
        <v>46284.71065490741</v>
      </c>
      <c r="B101" s="8" t="s">
        <v>164</v>
      </c>
      <c r="C101" s="8">
        <v>1.0</v>
      </c>
      <c r="D101" s="8" t="s">
        <v>11</v>
      </c>
      <c r="E101" s="8" t="s">
        <v>12</v>
      </c>
      <c r="F101" s="8" t="s">
        <v>13</v>
      </c>
      <c r="G101" s="8">
        <v>1.0</v>
      </c>
      <c r="H101" s="8">
        <v>1.0</v>
      </c>
      <c r="I101" s="8" t="s">
        <v>14</v>
      </c>
      <c r="J101" s="8" t="s">
        <v>96</v>
      </c>
      <c r="K101" s="8" t="s">
        <v>18</v>
      </c>
      <c r="L101" s="8" t="s">
        <v>83</v>
      </c>
      <c r="M101" s="8" t="s">
        <v>161</v>
      </c>
    </row>
    <row r="102">
      <c r="A102" s="5">
        <v>46284.71065490741</v>
      </c>
      <c r="B102" s="8" t="s">
        <v>164</v>
      </c>
      <c r="C102" s="8">
        <v>1.0</v>
      </c>
      <c r="D102" s="8" t="s">
        <v>11</v>
      </c>
      <c r="E102" s="8" t="s">
        <v>12</v>
      </c>
      <c r="F102" s="8" t="s">
        <v>13</v>
      </c>
      <c r="G102" s="8">
        <v>1.0</v>
      </c>
      <c r="H102" s="8">
        <v>1.0</v>
      </c>
      <c r="I102" s="8" t="s">
        <v>14</v>
      </c>
      <c r="J102" s="8" t="s">
        <v>96</v>
      </c>
      <c r="K102" s="8" t="s">
        <v>18</v>
      </c>
      <c r="L102" s="8" t="s">
        <v>62</v>
      </c>
      <c r="M102" s="8" t="s">
        <v>150</v>
      </c>
    </row>
    <row r="103">
      <c r="A103" s="5">
        <v>46284.71065490741</v>
      </c>
      <c r="B103" s="8" t="s">
        <v>164</v>
      </c>
      <c r="C103" s="8">
        <v>1.0</v>
      </c>
      <c r="D103" s="8" t="s">
        <v>11</v>
      </c>
      <c r="E103" s="8" t="s">
        <v>12</v>
      </c>
      <c r="F103" s="8" t="s">
        <v>13</v>
      </c>
      <c r="G103" s="8">
        <v>1.0</v>
      </c>
      <c r="H103" s="8">
        <v>1.0</v>
      </c>
      <c r="I103" s="8" t="s">
        <v>14</v>
      </c>
      <c r="J103" s="8" t="s">
        <v>96</v>
      </c>
      <c r="K103" s="8" t="s">
        <v>18</v>
      </c>
      <c r="L103" s="8" t="s">
        <v>81</v>
      </c>
      <c r="M103" s="8" t="s">
        <v>162</v>
      </c>
    </row>
    <row r="104">
      <c r="A104" s="5">
        <v>46284.712834861115</v>
      </c>
      <c r="B104" s="8" t="s">
        <v>49</v>
      </c>
      <c r="C104" s="8">
        <v>2.0</v>
      </c>
      <c r="D104" s="8" t="s">
        <v>11</v>
      </c>
      <c r="E104" s="8" t="s">
        <v>12</v>
      </c>
      <c r="F104" s="8" t="s">
        <v>13</v>
      </c>
      <c r="G104" s="8">
        <v>1.0</v>
      </c>
      <c r="H104" s="8">
        <v>1.0</v>
      </c>
      <c r="I104" s="8" t="s">
        <v>14</v>
      </c>
      <c r="J104" s="8" t="s">
        <v>96</v>
      </c>
      <c r="K104" s="8" t="s">
        <v>18</v>
      </c>
      <c r="L104" s="8">
        <v>0.0</v>
      </c>
    </row>
    <row r="105">
      <c r="A105" s="5">
        <v>46284.99822349537</v>
      </c>
      <c r="B105" s="8" t="s">
        <v>171</v>
      </c>
      <c r="C105" s="8">
        <v>1.0</v>
      </c>
      <c r="D105" s="8" t="s">
        <v>11</v>
      </c>
      <c r="E105" s="8" t="s">
        <v>12</v>
      </c>
      <c r="F105" s="8" t="s">
        <v>13</v>
      </c>
      <c r="G105" s="8">
        <v>4.0</v>
      </c>
      <c r="H105" s="8">
        <v>2.0</v>
      </c>
      <c r="I105" s="8" t="s">
        <v>14</v>
      </c>
      <c r="J105" s="8" t="s">
        <v>16</v>
      </c>
      <c r="K105" s="8" t="s">
        <v>18</v>
      </c>
      <c r="L105" s="8">
        <v>0.0</v>
      </c>
    </row>
    <row r="106">
      <c r="A106" s="5">
        <v>46284.99822349537</v>
      </c>
      <c r="B106" s="8" t="s">
        <v>171</v>
      </c>
      <c r="C106" s="8">
        <v>1.0</v>
      </c>
      <c r="D106" s="8" t="s">
        <v>11</v>
      </c>
      <c r="E106" s="8" t="s">
        <v>12</v>
      </c>
      <c r="F106" s="8" t="s">
        <v>13</v>
      </c>
      <c r="G106" s="8">
        <v>4.0</v>
      </c>
      <c r="H106" s="8">
        <v>2.0</v>
      </c>
      <c r="I106" s="8" t="s">
        <v>14</v>
      </c>
      <c r="J106" s="8" t="s">
        <v>16</v>
      </c>
      <c r="K106" s="8" t="s">
        <v>18</v>
      </c>
      <c r="L106" s="8">
        <v>1.0</v>
      </c>
    </row>
    <row r="107">
      <c r="A107" s="5">
        <v>46284.99822349537</v>
      </c>
      <c r="B107" s="8" t="s">
        <v>171</v>
      </c>
      <c r="C107" s="8">
        <v>1.0</v>
      </c>
      <c r="D107" s="8" t="s">
        <v>11</v>
      </c>
      <c r="E107" s="8" t="s">
        <v>12</v>
      </c>
      <c r="F107" s="8" t="s">
        <v>13</v>
      </c>
      <c r="G107" s="8">
        <v>4.0</v>
      </c>
      <c r="H107" s="8">
        <v>2.0</v>
      </c>
      <c r="I107" s="8" t="s">
        <v>14</v>
      </c>
      <c r="J107" s="8" t="s">
        <v>16</v>
      </c>
      <c r="K107" s="8" t="s">
        <v>18</v>
      </c>
      <c r="L107" s="8">
        <v>2.0</v>
      </c>
    </row>
    <row r="108">
      <c r="A108" s="5">
        <v>46284.99822349537</v>
      </c>
      <c r="B108" s="8" t="s">
        <v>171</v>
      </c>
      <c r="C108" s="8">
        <v>1.0</v>
      </c>
      <c r="D108" s="8" t="s">
        <v>11</v>
      </c>
      <c r="E108" s="8" t="s">
        <v>12</v>
      </c>
      <c r="F108" s="8" t="s">
        <v>13</v>
      </c>
      <c r="G108" s="8">
        <v>4.0</v>
      </c>
      <c r="H108" s="8">
        <v>2.0</v>
      </c>
      <c r="I108" s="8" t="s">
        <v>14</v>
      </c>
      <c r="J108" s="8" t="s">
        <v>16</v>
      </c>
      <c r="K108" s="8" t="s">
        <v>18</v>
      </c>
      <c r="L108" s="8">
        <v>3.0</v>
      </c>
    </row>
    <row r="109">
      <c r="A109" s="5">
        <v>46284.99822349537</v>
      </c>
      <c r="B109" s="8" t="s">
        <v>171</v>
      </c>
      <c r="C109" s="8">
        <v>1.0</v>
      </c>
      <c r="D109" s="8" t="s">
        <v>11</v>
      </c>
      <c r="E109" s="8" t="s">
        <v>12</v>
      </c>
      <c r="F109" s="8" t="s">
        <v>13</v>
      </c>
      <c r="G109" s="8">
        <v>4.0</v>
      </c>
      <c r="H109" s="8">
        <v>2.0</v>
      </c>
      <c r="I109" s="8" t="s">
        <v>14</v>
      </c>
      <c r="J109" s="8" t="s">
        <v>16</v>
      </c>
      <c r="K109" s="8" t="s">
        <v>18</v>
      </c>
      <c r="L109" s="8">
        <v>4.0</v>
      </c>
    </row>
    <row r="110">
      <c r="A110" s="5">
        <v>46284.99822349537</v>
      </c>
      <c r="B110" s="8" t="s">
        <v>171</v>
      </c>
      <c r="C110" s="8">
        <v>1.0</v>
      </c>
      <c r="D110" s="8" t="s">
        <v>11</v>
      </c>
      <c r="E110" s="8" t="s">
        <v>12</v>
      </c>
      <c r="F110" s="8" t="s">
        <v>13</v>
      </c>
      <c r="G110" s="8">
        <v>4.0</v>
      </c>
      <c r="H110" s="8">
        <v>2.0</v>
      </c>
      <c r="I110" s="8" t="s">
        <v>14</v>
      </c>
      <c r="J110" s="8" t="s">
        <v>16</v>
      </c>
      <c r="K110" s="8" t="s">
        <v>18</v>
      </c>
      <c r="L110" s="8">
        <v>5.0</v>
      </c>
    </row>
    <row r="111">
      <c r="A111" s="5">
        <v>46284.99822349537</v>
      </c>
      <c r="B111" s="8" t="s">
        <v>171</v>
      </c>
      <c r="C111" s="8">
        <v>1.0</v>
      </c>
      <c r="D111" s="8" t="s">
        <v>11</v>
      </c>
      <c r="E111" s="8" t="s">
        <v>12</v>
      </c>
      <c r="F111" s="8" t="s">
        <v>13</v>
      </c>
      <c r="G111" s="8">
        <v>4.0</v>
      </c>
      <c r="H111" s="8">
        <v>2.0</v>
      </c>
      <c r="I111" s="8" t="s">
        <v>14</v>
      </c>
      <c r="J111" s="8" t="s">
        <v>16</v>
      </c>
      <c r="K111" s="8" t="s">
        <v>18</v>
      </c>
      <c r="L111" s="8">
        <v>6.0</v>
      </c>
    </row>
    <row r="112">
      <c r="A112" s="5">
        <v>46284.99822349537</v>
      </c>
      <c r="B112" s="8" t="s">
        <v>171</v>
      </c>
      <c r="C112" s="8">
        <v>1.0</v>
      </c>
      <c r="D112" s="8" t="s">
        <v>11</v>
      </c>
      <c r="E112" s="8" t="s">
        <v>12</v>
      </c>
      <c r="F112" s="8" t="s">
        <v>13</v>
      </c>
      <c r="G112" s="8">
        <v>4.0</v>
      </c>
      <c r="H112" s="8">
        <v>2.0</v>
      </c>
      <c r="I112" s="8" t="s">
        <v>14</v>
      </c>
      <c r="J112" s="8" t="s">
        <v>16</v>
      </c>
      <c r="K112" s="8" t="s">
        <v>18</v>
      </c>
      <c r="L112" s="8">
        <v>7.0</v>
      </c>
    </row>
    <row r="113">
      <c r="A113" s="5">
        <v>46284.99974515046</v>
      </c>
      <c r="B113" s="8" t="s">
        <v>18</v>
      </c>
      <c r="C113" s="8">
        <v>1.0</v>
      </c>
      <c r="D113" s="8" t="s">
        <v>11</v>
      </c>
      <c r="E113" s="8" t="s">
        <v>12</v>
      </c>
      <c r="F113" s="8" t="s">
        <v>13</v>
      </c>
      <c r="G113" s="8">
        <v>4.0</v>
      </c>
      <c r="H113" s="8">
        <v>2.0</v>
      </c>
      <c r="I113" s="8" t="s">
        <v>14</v>
      </c>
      <c r="J113" s="8" t="s">
        <v>16</v>
      </c>
      <c r="K113" s="8" t="s">
        <v>18</v>
      </c>
      <c r="L113" s="8">
        <v>0.0</v>
      </c>
    </row>
    <row r="114">
      <c r="A114" s="5">
        <v>46284.99974515046</v>
      </c>
      <c r="B114" s="8" t="s">
        <v>18</v>
      </c>
      <c r="C114" s="8">
        <v>1.0</v>
      </c>
      <c r="D114" s="8" t="s">
        <v>11</v>
      </c>
      <c r="E114" s="8" t="s">
        <v>12</v>
      </c>
      <c r="F114" s="8" t="s">
        <v>13</v>
      </c>
      <c r="G114" s="8">
        <v>4.0</v>
      </c>
      <c r="H114" s="8">
        <v>2.0</v>
      </c>
      <c r="I114" s="8" t="s">
        <v>14</v>
      </c>
      <c r="J114" s="8" t="s">
        <v>16</v>
      </c>
      <c r="K114" s="8" t="s">
        <v>18</v>
      </c>
      <c r="L114" s="8">
        <v>1.0</v>
      </c>
    </row>
    <row r="115">
      <c r="A115" s="5">
        <v>46284.99974515046</v>
      </c>
      <c r="B115" s="8" t="s">
        <v>18</v>
      </c>
      <c r="C115" s="8">
        <v>1.0</v>
      </c>
      <c r="D115" s="8" t="s">
        <v>11</v>
      </c>
      <c r="E115" s="8" t="s">
        <v>12</v>
      </c>
      <c r="F115" s="8" t="s">
        <v>13</v>
      </c>
      <c r="G115" s="8">
        <v>4.0</v>
      </c>
      <c r="H115" s="8">
        <v>2.0</v>
      </c>
      <c r="I115" s="8" t="s">
        <v>14</v>
      </c>
      <c r="J115" s="8" t="s">
        <v>16</v>
      </c>
      <c r="K115" s="8" t="s">
        <v>18</v>
      </c>
      <c r="L115" s="8">
        <v>2.0</v>
      </c>
    </row>
    <row r="116">
      <c r="A116" s="5">
        <v>46284.99974515046</v>
      </c>
      <c r="B116" s="8" t="s">
        <v>18</v>
      </c>
      <c r="C116" s="8">
        <v>1.0</v>
      </c>
      <c r="D116" s="8" t="s">
        <v>11</v>
      </c>
      <c r="E116" s="8" t="s">
        <v>12</v>
      </c>
      <c r="F116" s="8" t="s">
        <v>13</v>
      </c>
      <c r="G116" s="8">
        <v>4.0</v>
      </c>
      <c r="H116" s="8">
        <v>2.0</v>
      </c>
      <c r="I116" s="8" t="s">
        <v>14</v>
      </c>
      <c r="J116" s="8" t="s">
        <v>16</v>
      </c>
      <c r="K116" s="8" t="s">
        <v>18</v>
      </c>
      <c r="L116" s="8">
        <v>3.0</v>
      </c>
    </row>
    <row r="117">
      <c r="A117" s="5">
        <v>46284.99974515046</v>
      </c>
      <c r="B117" s="8" t="s">
        <v>18</v>
      </c>
      <c r="C117" s="8">
        <v>1.0</v>
      </c>
      <c r="D117" s="8" t="s">
        <v>11</v>
      </c>
      <c r="E117" s="8" t="s">
        <v>12</v>
      </c>
      <c r="F117" s="8" t="s">
        <v>13</v>
      </c>
      <c r="G117" s="8">
        <v>4.0</v>
      </c>
      <c r="H117" s="8">
        <v>2.0</v>
      </c>
      <c r="I117" s="8" t="s">
        <v>14</v>
      </c>
      <c r="J117" s="8" t="s">
        <v>16</v>
      </c>
      <c r="K117" s="8" t="s">
        <v>18</v>
      </c>
      <c r="L117" s="8">
        <v>4.0</v>
      </c>
    </row>
    <row r="118">
      <c r="A118" s="5">
        <v>46284.99974515046</v>
      </c>
      <c r="B118" s="8" t="s">
        <v>18</v>
      </c>
      <c r="C118" s="8">
        <v>1.0</v>
      </c>
      <c r="D118" s="8" t="s">
        <v>11</v>
      </c>
      <c r="E118" s="8" t="s">
        <v>12</v>
      </c>
      <c r="F118" s="8" t="s">
        <v>13</v>
      </c>
      <c r="G118" s="8">
        <v>4.0</v>
      </c>
      <c r="H118" s="8">
        <v>2.0</v>
      </c>
      <c r="I118" s="8" t="s">
        <v>14</v>
      </c>
      <c r="J118" s="8" t="s">
        <v>16</v>
      </c>
      <c r="K118" s="8" t="s">
        <v>18</v>
      </c>
      <c r="L118" s="8">
        <v>5.0</v>
      </c>
    </row>
    <row r="119">
      <c r="A119" s="5">
        <v>46284.99974515046</v>
      </c>
      <c r="B119" s="8" t="s">
        <v>18</v>
      </c>
      <c r="C119" s="8">
        <v>1.0</v>
      </c>
      <c r="D119" s="8" t="s">
        <v>11</v>
      </c>
      <c r="E119" s="8" t="s">
        <v>12</v>
      </c>
      <c r="F119" s="8" t="s">
        <v>13</v>
      </c>
      <c r="G119" s="8">
        <v>4.0</v>
      </c>
      <c r="H119" s="8">
        <v>2.0</v>
      </c>
      <c r="I119" s="8" t="s">
        <v>14</v>
      </c>
      <c r="J119" s="8" t="s">
        <v>16</v>
      </c>
      <c r="K119" s="8" t="s">
        <v>18</v>
      </c>
      <c r="L119" s="8">
        <v>6.0</v>
      </c>
    </row>
    <row r="120">
      <c r="A120" s="5">
        <v>46284.99974515046</v>
      </c>
      <c r="B120" s="8" t="s">
        <v>18</v>
      </c>
      <c r="C120" s="8">
        <v>1.0</v>
      </c>
      <c r="D120" s="8" t="s">
        <v>11</v>
      </c>
      <c r="E120" s="8" t="s">
        <v>12</v>
      </c>
      <c r="F120" s="8" t="s">
        <v>13</v>
      </c>
      <c r="G120" s="8">
        <v>4.0</v>
      </c>
      <c r="H120" s="8">
        <v>2.0</v>
      </c>
      <c r="I120" s="8" t="s">
        <v>14</v>
      </c>
      <c r="J120" s="8" t="s">
        <v>16</v>
      </c>
      <c r="K120" s="8" t="s">
        <v>18</v>
      </c>
      <c r="L120" s="8">
        <v>7.0</v>
      </c>
    </row>
    <row r="121">
      <c r="A121" s="5">
        <v>46285.004639942126</v>
      </c>
      <c r="B121" s="8" t="s">
        <v>182</v>
      </c>
      <c r="C121" s="8">
        <v>1.0</v>
      </c>
      <c r="D121" s="8" t="s">
        <v>11</v>
      </c>
      <c r="E121" s="8" t="s">
        <v>12</v>
      </c>
      <c r="F121" s="8" t="s">
        <v>13</v>
      </c>
      <c r="G121" s="8">
        <v>4.0</v>
      </c>
      <c r="H121" s="8">
        <v>2.0</v>
      </c>
      <c r="I121" s="8" t="s">
        <v>14</v>
      </c>
      <c r="J121" s="8" t="s">
        <v>16</v>
      </c>
      <c r="K121" s="8" t="s">
        <v>18</v>
      </c>
      <c r="L121" s="8">
        <v>0.0</v>
      </c>
    </row>
    <row r="122">
      <c r="A122" s="5">
        <v>46285.004639942126</v>
      </c>
      <c r="B122" s="8" t="s">
        <v>182</v>
      </c>
      <c r="C122" s="8">
        <v>1.0</v>
      </c>
      <c r="D122" s="8" t="s">
        <v>11</v>
      </c>
      <c r="E122" s="8" t="s">
        <v>12</v>
      </c>
      <c r="F122" s="8" t="s">
        <v>13</v>
      </c>
      <c r="G122" s="8">
        <v>4.0</v>
      </c>
      <c r="H122" s="8">
        <v>2.0</v>
      </c>
      <c r="I122" s="8" t="s">
        <v>14</v>
      </c>
      <c r="J122" s="8" t="s">
        <v>16</v>
      </c>
      <c r="K122" s="8" t="s">
        <v>18</v>
      </c>
      <c r="L122" s="8">
        <v>1.0</v>
      </c>
    </row>
    <row r="123">
      <c r="A123" s="5">
        <v>46285.004639942126</v>
      </c>
      <c r="B123" s="8" t="s">
        <v>182</v>
      </c>
      <c r="C123" s="8">
        <v>1.0</v>
      </c>
      <c r="D123" s="8" t="s">
        <v>11</v>
      </c>
      <c r="E123" s="8" t="s">
        <v>12</v>
      </c>
      <c r="F123" s="8" t="s">
        <v>13</v>
      </c>
      <c r="G123" s="8">
        <v>4.0</v>
      </c>
      <c r="H123" s="8">
        <v>2.0</v>
      </c>
      <c r="I123" s="8" t="s">
        <v>14</v>
      </c>
      <c r="J123" s="8" t="s">
        <v>16</v>
      </c>
      <c r="K123" s="8" t="s">
        <v>18</v>
      </c>
      <c r="L123" s="8">
        <v>2.0</v>
      </c>
    </row>
    <row r="124">
      <c r="A124" s="5">
        <v>46285.004639942126</v>
      </c>
      <c r="B124" s="8" t="s">
        <v>182</v>
      </c>
      <c r="C124" s="8">
        <v>1.0</v>
      </c>
      <c r="D124" s="8" t="s">
        <v>11</v>
      </c>
      <c r="E124" s="8" t="s">
        <v>12</v>
      </c>
      <c r="F124" s="8" t="s">
        <v>13</v>
      </c>
      <c r="G124" s="8">
        <v>4.0</v>
      </c>
      <c r="H124" s="8">
        <v>2.0</v>
      </c>
      <c r="I124" s="8" t="s">
        <v>14</v>
      </c>
      <c r="J124" s="8" t="s">
        <v>16</v>
      </c>
      <c r="K124" s="8" t="s">
        <v>18</v>
      </c>
      <c r="L124" s="8">
        <v>3.0</v>
      </c>
    </row>
    <row r="125">
      <c r="A125" s="5">
        <v>46285.004639942126</v>
      </c>
      <c r="B125" s="8" t="s">
        <v>182</v>
      </c>
      <c r="C125" s="8">
        <v>1.0</v>
      </c>
      <c r="D125" s="8" t="s">
        <v>11</v>
      </c>
      <c r="E125" s="8" t="s">
        <v>12</v>
      </c>
      <c r="F125" s="8" t="s">
        <v>13</v>
      </c>
      <c r="G125" s="8">
        <v>4.0</v>
      </c>
      <c r="H125" s="8">
        <v>2.0</v>
      </c>
      <c r="I125" s="8" t="s">
        <v>14</v>
      </c>
      <c r="J125" s="8" t="s">
        <v>16</v>
      </c>
      <c r="K125" s="8" t="s">
        <v>18</v>
      </c>
      <c r="L125" s="8">
        <v>4.0</v>
      </c>
    </row>
    <row r="126">
      <c r="A126" s="5">
        <v>46285.004639942126</v>
      </c>
      <c r="B126" s="8" t="s">
        <v>182</v>
      </c>
      <c r="C126" s="8">
        <v>1.0</v>
      </c>
      <c r="D126" s="8" t="s">
        <v>11</v>
      </c>
      <c r="E126" s="8" t="s">
        <v>12</v>
      </c>
      <c r="F126" s="8" t="s">
        <v>13</v>
      </c>
      <c r="G126" s="8">
        <v>4.0</v>
      </c>
      <c r="H126" s="8">
        <v>2.0</v>
      </c>
      <c r="I126" s="8" t="s">
        <v>14</v>
      </c>
      <c r="J126" s="8" t="s">
        <v>16</v>
      </c>
      <c r="K126" s="8" t="s">
        <v>18</v>
      </c>
      <c r="L126" s="8">
        <v>5.0</v>
      </c>
    </row>
    <row r="127">
      <c r="A127" s="5">
        <v>46285.004639942126</v>
      </c>
      <c r="B127" s="8" t="s">
        <v>182</v>
      </c>
      <c r="C127" s="8">
        <v>1.0</v>
      </c>
      <c r="D127" s="8" t="s">
        <v>11</v>
      </c>
      <c r="E127" s="8" t="s">
        <v>12</v>
      </c>
      <c r="F127" s="8" t="s">
        <v>13</v>
      </c>
      <c r="G127" s="8">
        <v>4.0</v>
      </c>
      <c r="H127" s="8">
        <v>2.0</v>
      </c>
      <c r="I127" s="8" t="s">
        <v>14</v>
      </c>
      <c r="J127" s="8" t="s">
        <v>16</v>
      </c>
      <c r="K127" s="8" t="s">
        <v>18</v>
      </c>
      <c r="L127" s="8">
        <v>6.0</v>
      </c>
    </row>
    <row r="128">
      <c r="A128" s="5">
        <v>46285.004639942126</v>
      </c>
      <c r="B128" s="8" t="s">
        <v>182</v>
      </c>
      <c r="C128" s="8">
        <v>1.0</v>
      </c>
      <c r="D128" s="8" t="s">
        <v>11</v>
      </c>
      <c r="E128" s="8" t="s">
        <v>12</v>
      </c>
      <c r="F128" s="8" t="s">
        <v>13</v>
      </c>
      <c r="G128" s="8">
        <v>4.0</v>
      </c>
      <c r="H128" s="8">
        <v>2.0</v>
      </c>
      <c r="I128" s="8" t="s">
        <v>14</v>
      </c>
      <c r="J128" s="8" t="s">
        <v>16</v>
      </c>
      <c r="K128" s="8" t="s">
        <v>18</v>
      </c>
      <c r="L128" s="8">
        <v>7.0</v>
      </c>
    </row>
    <row r="129">
      <c r="A129" s="5">
        <v>46285.00841734954</v>
      </c>
      <c r="B129" s="8" t="s">
        <v>7</v>
      </c>
      <c r="C129" s="8">
        <v>1.0</v>
      </c>
      <c r="D129" s="8" t="s">
        <v>11</v>
      </c>
      <c r="E129" s="8" t="s">
        <v>12</v>
      </c>
      <c r="F129" s="8" t="s">
        <v>13</v>
      </c>
      <c r="G129" s="8">
        <v>4.0</v>
      </c>
      <c r="H129" s="8">
        <v>2.0</v>
      </c>
      <c r="I129" s="8" t="s">
        <v>14</v>
      </c>
      <c r="J129" s="8" t="s">
        <v>16</v>
      </c>
      <c r="K129" s="8" t="s">
        <v>18</v>
      </c>
      <c r="L129" s="8">
        <v>0.0</v>
      </c>
    </row>
    <row r="130">
      <c r="A130" s="5">
        <v>46285.00841734954</v>
      </c>
      <c r="B130" s="8" t="s">
        <v>7</v>
      </c>
      <c r="C130" s="8">
        <v>1.0</v>
      </c>
      <c r="D130" s="8" t="s">
        <v>11</v>
      </c>
      <c r="E130" s="8" t="s">
        <v>12</v>
      </c>
      <c r="F130" s="8" t="s">
        <v>13</v>
      </c>
      <c r="G130" s="8">
        <v>4.0</v>
      </c>
      <c r="H130" s="8">
        <v>2.0</v>
      </c>
      <c r="I130" s="8" t="s">
        <v>14</v>
      </c>
      <c r="J130" s="8" t="s">
        <v>16</v>
      </c>
      <c r="K130" s="8" t="s">
        <v>18</v>
      </c>
      <c r="L130" s="8">
        <v>1.0</v>
      </c>
    </row>
    <row r="131">
      <c r="A131" s="5">
        <v>46285.00841734954</v>
      </c>
      <c r="B131" s="8" t="s">
        <v>7</v>
      </c>
      <c r="C131" s="8">
        <v>1.0</v>
      </c>
      <c r="D131" s="8" t="s">
        <v>11</v>
      </c>
      <c r="E131" s="8" t="s">
        <v>12</v>
      </c>
      <c r="F131" s="8" t="s">
        <v>13</v>
      </c>
      <c r="G131" s="8">
        <v>4.0</v>
      </c>
      <c r="H131" s="8">
        <v>2.0</v>
      </c>
      <c r="I131" s="8" t="s">
        <v>14</v>
      </c>
      <c r="J131" s="8" t="s">
        <v>16</v>
      </c>
      <c r="K131" s="8" t="s">
        <v>18</v>
      </c>
      <c r="L131" s="8">
        <v>2.0</v>
      </c>
    </row>
    <row r="132">
      <c r="A132" s="5">
        <v>46285.00841734954</v>
      </c>
      <c r="B132" s="8" t="s">
        <v>7</v>
      </c>
      <c r="C132" s="8">
        <v>1.0</v>
      </c>
      <c r="D132" s="8" t="s">
        <v>11</v>
      </c>
      <c r="E132" s="8" t="s">
        <v>12</v>
      </c>
      <c r="F132" s="8" t="s">
        <v>13</v>
      </c>
      <c r="G132" s="8">
        <v>4.0</v>
      </c>
      <c r="H132" s="8">
        <v>2.0</v>
      </c>
      <c r="I132" s="8" t="s">
        <v>14</v>
      </c>
      <c r="J132" s="8" t="s">
        <v>16</v>
      </c>
      <c r="K132" s="8" t="s">
        <v>18</v>
      </c>
      <c r="L132" s="8">
        <v>3.0</v>
      </c>
    </row>
    <row r="133">
      <c r="A133" s="5">
        <v>46285.00841734954</v>
      </c>
      <c r="B133" s="8" t="s">
        <v>7</v>
      </c>
      <c r="C133" s="8">
        <v>1.0</v>
      </c>
      <c r="D133" s="8" t="s">
        <v>11</v>
      </c>
      <c r="E133" s="8" t="s">
        <v>12</v>
      </c>
      <c r="F133" s="8" t="s">
        <v>13</v>
      </c>
      <c r="G133" s="8">
        <v>4.0</v>
      </c>
      <c r="H133" s="8">
        <v>2.0</v>
      </c>
      <c r="I133" s="8" t="s">
        <v>14</v>
      </c>
      <c r="J133" s="8" t="s">
        <v>16</v>
      </c>
      <c r="K133" s="8" t="s">
        <v>18</v>
      </c>
      <c r="L133" s="8">
        <v>4.0</v>
      </c>
    </row>
    <row r="134">
      <c r="A134" s="5">
        <v>46285.00841734954</v>
      </c>
      <c r="B134" s="8" t="s">
        <v>7</v>
      </c>
      <c r="C134" s="8">
        <v>1.0</v>
      </c>
      <c r="D134" s="8" t="s">
        <v>11</v>
      </c>
      <c r="E134" s="8" t="s">
        <v>12</v>
      </c>
      <c r="F134" s="8" t="s">
        <v>13</v>
      </c>
      <c r="G134" s="8">
        <v>4.0</v>
      </c>
      <c r="H134" s="8">
        <v>2.0</v>
      </c>
      <c r="I134" s="8" t="s">
        <v>14</v>
      </c>
      <c r="J134" s="8" t="s">
        <v>16</v>
      </c>
      <c r="K134" s="8" t="s">
        <v>18</v>
      </c>
      <c r="L134" s="8">
        <v>5.0</v>
      </c>
    </row>
    <row r="135">
      <c r="A135" s="5">
        <v>46285.00841734954</v>
      </c>
      <c r="B135" s="8" t="s">
        <v>7</v>
      </c>
      <c r="C135" s="8">
        <v>1.0</v>
      </c>
      <c r="D135" s="8" t="s">
        <v>11</v>
      </c>
      <c r="E135" s="8" t="s">
        <v>12</v>
      </c>
      <c r="F135" s="8" t="s">
        <v>13</v>
      </c>
      <c r="G135" s="8">
        <v>4.0</v>
      </c>
      <c r="H135" s="8">
        <v>2.0</v>
      </c>
      <c r="I135" s="8" t="s">
        <v>14</v>
      </c>
      <c r="J135" s="8" t="s">
        <v>16</v>
      </c>
      <c r="K135" s="8" t="s">
        <v>18</v>
      </c>
      <c r="L135" s="8">
        <v>6.0</v>
      </c>
    </row>
    <row r="136">
      <c r="A136" s="5">
        <v>46285.00841734954</v>
      </c>
      <c r="B136" s="8" t="s">
        <v>7</v>
      </c>
      <c r="C136" s="8">
        <v>1.0</v>
      </c>
      <c r="D136" s="8" t="s">
        <v>11</v>
      </c>
      <c r="E136" s="8" t="s">
        <v>12</v>
      </c>
      <c r="F136" s="8" t="s">
        <v>13</v>
      </c>
      <c r="G136" s="8">
        <v>4.0</v>
      </c>
      <c r="H136" s="8">
        <v>2.0</v>
      </c>
      <c r="I136" s="8" t="s">
        <v>14</v>
      </c>
      <c r="J136" s="8" t="s">
        <v>16</v>
      </c>
      <c r="K136" s="8" t="s">
        <v>18</v>
      </c>
      <c r="L136" s="8">
        <v>7.0</v>
      </c>
    </row>
    <row r="137">
      <c r="A137" s="5">
        <v>46285.014013622684</v>
      </c>
      <c r="B137" s="8" t="s">
        <v>63</v>
      </c>
      <c r="C137" s="8">
        <v>1.0</v>
      </c>
      <c r="D137" s="8" t="s">
        <v>11</v>
      </c>
      <c r="E137" s="8" t="s">
        <v>12</v>
      </c>
      <c r="F137" s="8" t="s">
        <v>13</v>
      </c>
      <c r="G137" s="8">
        <v>4.0</v>
      </c>
      <c r="H137" s="8">
        <v>2.0</v>
      </c>
      <c r="I137" s="8" t="s">
        <v>14</v>
      </c>
      <c r="J137" s="8" t="s">
        <v>16</v>
      </c>
      <c r="K137" s="8" t="s">
        <v>18</v>
      </c>
      <c r="L137" s="8">
        <v>0.0</v>
      </c>
    </row>
    <row r="138">
      <c r="A138" s="5">
        <v>46285.014013622684</v>
      </c>
      <c r="B138" s="8" t="s">
        <v>63</v>
      </c>
      <c r="C138" s="8">
        <v>1.0</v>
      </c>
      <c r="D138" s="8" t="s">
        <v>11</v>
      </c>
      <c r="E138" s="8" t="s">
        <v>12</v>
      </c>
      <c r="F138" s="8" t="s">
        <v>13</v>
      </c>
      <c r="G138" s="8">
        <v>4.0</v>
      </c>
      <c r="H138" s="8">
        <v>2.0</v>
      </c>
      <c r="I138" s="8" t="s">
        <v>14</v>
      </c>
      <c r="J138" s="8" t="s">
        <v>16</v>
      </c>
      <c r="K138" s="8" t="s">
        <v>18</v>
      </c>
      <c r="L138" s="8">
        <v>1.0</v>
      </c>
    </row>
    <row r="139">
      <c r="A139" s="5">
        <v>46285.014013622684</v>
      </c>
      <c r="B139" s="8" t="s">
        <v>63</v>
      </c>
      <c r="C139" s="8">
        <v>1.0</v>
      </c>
      <c r="D139" s="8" t="s">
        <v>11</v>
      </c>
      <c r="E139" s="8" t="s">
        <v>12</v>
      </c>
      <c r="F139" s="8" t="s">
        <v>13</v>
      </c>
      <c r="G139" s="8">
        <v>4.0</v>
      </c>
      <c r="H139" s="8">
        <v>2.0</v>
      </c>
      <c r="I139" s="8" t="s">
        <v>14</v>
      </c>
      <c r="J139" s="8" t="s">
        <v>16</v>
      </c>
      <c r="K139" s="8" t="s">
        <v>18</v>
      </c>
      <c r="L139" s="8">
        <v>2.0</v>
      </c>
    </row>
    <row r="140">
      <c r="A140" s="5">
        <v>46285.014013622684</v>
      </c>
      <c r="B140" s="8" t="s">
        <v>63</v>
      </c>
      <c r="C140" s="8">
        <v>1.0</v>
      </c>
      <c r="D140" s="8" t="s">
        <v>11</v>
      </c>
      <c r="E140" s="8" t="s">
        <v>12</v>
      </c>
      <c r="F140" s="8" t="s">
        <v>13</v>
      </c>
      <c r="G140" s="8">
        <v>4.0</v>
      </c>
      <c r="H140" s="8">
        <v>2.0</v>
      </c>
      <c r="I140" s="8" t="s">
        <v>14</v>
      </c>
      <c r="J140" s="8" t="s">
        <v>16</v>
      </c>
      <c r="K140" s="8" t="s">
        <v>18</v>
      </c>
      <c r="L140" s="8">
        <v>3.0</v>
      </c>
    </row>
    <row r="141">
      <c r="A141" s="5">
        <v>46285.014013622684</v>
      </c>
      <c r="B141" s="8" t="s">
        <v>63</v>
      </c>
      <c r="C141" s="8">
        <v>1.0</v>
      </c>
      <c r="D141" s="8" t="s">
        <v>11</v>
      </c>
      <c r="E141" s="8" t="s">
        <v>12</v>
      </c>
      <c r="F141" s="8" t="s">
        <v>13</v>
      </c>
      <c r="G141" s="8">
        <v>4.0</v>
      </c>
      <c r="H141" s="8">
        <v>2.0</v>
      </c>
      <c r="I141" s="8" t="s">
        <v>14</v>
      </c>
      <c r="J141" s="8" t="s">
        <v>16</v>
      </c>
      <c r="K141" s="8" t="s">
        <v>18</v>
      </c>
      <c r="L141" s="8">
        <v>4.0</v>
      </c>
    </row>
    <row r="142">
      <c r="A142" s="5">
        <v>46285.014013622684</v>
      </c>
      <c r="B142" s="8" t="s">
        <v>63</v>
      </c>
      <c r="C142" s="8">
        <v>1.0</v>
      </c>
      <c r="D142" s="8" t="s">
        <v>11</v>
      </c>
      <c r="E142" s="8" t="s">
        <v>12</v>
      </c>
      <c r="F142" s="8" t="s">
        <v>13</v>
      </c>
      <c r="G142" s="8">
        <v>4.0</v>
      </c>
      <c r="H142" s="8">
        <v>2.0</v>
      </c>
      <c r="I142" s="8" t="s">
        <v>14</v>
      </c>
      <c r="J142" s="8" t="s">
        <v>16</v>
      </c>
      <c r="K142" s="8" t="s">
        <v>18</v>
      </c>
      <c r="L142" s="8">
        <v>5.0</v>
      </c>
    </row>
    <row r="143">
      <c r="A143" s="5">
        <v>46285.014013622684</v>
      </c>
      <c r="B143" s="8" t="s">
        <v>63</v>
      </c>
      <c r="C143" s="8">
        <v>1.0</v>
      </c>
      <c r="D143" s="8" t="s">
        <v>11</v>
      </c>
      <c r="E143" s="8" t="s">
        <v>12</v>
      </c>
      <c r="F143" s="8" t="s">
        <v>13</v>
      </c>
      <c r="G143" s="8">
        <v>4.0</v>
      </c>
      <c r="H143" s="8">
        <v>2.0</v>
      </c>
      <c r="I143" s="8" t="s">
        <v>14</v>
      </c>
      <c r="J143" s="8" t="s">
        <v>16</v>
      </c>
      <c r="K143" s="8" t="s">
        <v>18</v>
      </c>
      <c r="L143" s="8">
        <v>6.0</v>
      </c>
    </row>
    <row r="144">
      <c r="A144" s="5">
        <v>46285.014013622684</v>
      </c>
      <c r="B144" s="8" t="s">
        <v>63</v>
      </c>
      <c r="C144" s="8">
        <v>1.0</v>
      </c>
      <c r="D144" s="8" t="s">
        <v>11</v>
      </c>
      <c r="E144" s="8" t="s">
        <v>12</v>
      </c>
      <c r="F144" s="8" t="s">
        <v>13</v>
      </c>
      <c r="G144" s="8">
        <v>4.0</v>
      </c>
      <c r="H144" s="8">
        <v>2.0</v>
      </c>
      <c r="I144" s="8" t="s">
        <v>14</v>
      </c>
      <c r="J144" s="8" t="s">
        <v>16</v>
      </c>
      <c r="K144" s="8" t="s">
        <v>18</v>
      </c>
      <c r="L144" s="8">
        <v>7.0</v>
      </c>
    </row>
    <row r="145">
      <c r="A145" s="5">
        <v>46285.02049998843</v>
      </c>
      <c r="B145" s="8" t="s">
        <v>54</v>
      </c>
      <c r="C145" s="8">
        <v>1.0</v>
      </c>
      <c r="D145" s="8" t="s">
        <v>11</v>
      </c>
      <c r="E145" s="8" t="s">
        <v>12</v>
      </c>
      <c r="F145" s="8" t="s">
        <v>13</v>
      </c>
      <c r="G145" s="8">
        <v>4.0</v>
      </c>
      <c r="H145" s="8">
        <v>2.0</v>
      </c>
      <c r="I145" s="8" t="s">
        <v>14</v>
      </c>
      <c r="J145" s="8" t="s">
        <v>16</v>
      </c>
      <c r="K145" s="8" t="s">
        <v>18</v>
      </c>
      <c r="L145" s="8">
        <v>0.0</v>
      </c>
    </row>
    <row r="146">
      <c r="A146" s="5">
        <v>46285.02049998843</v>
      </c>
      <c r="B146" s="8" t="s">
        <v>54</v>
      </c>
      <c r="C146" s="8">
        <v>1.0</v>
      </c>
      <c r="D146" s="8" t="s">
        <v>11</v>
      </c>
      <c r="E146" s="8" t="s">
        <v>12</v>
      </c>
      <c r="F146" s="8" t="s">
        <v>13</v>
      </c>
      <c r="G146" s="8">
        <v>4.0</v>
      </c>
      <c r="H146" s="8">
        <v>2.0</v>
      </c>
      <c r="I146" s="8" t="s">
        <v>14</v>
      </c>
      <c r="J146" s="8" t="s">
        <v>16</v>
      </c>
      <c r="K146" s="8" t="s">
        <v>18</v>
      </c>
      <c r="L146" s="8">
        <v>1.0</v>
      </c>
    </row>
    <row r="147">
      <c r="A147" s="5">
        <v>46285.02049998843</v>
      </c>
      <c r="B147" s="8" t="s">
        <v>54</v>
      </c>
      <c r="C147" s="8">
        <v>1.0</v>
      </c>
      <c r="D147" s="8" t="s">
        <v>11</v>
      </c>
      <c r="E147" s="8" t="s">
        <v>12</v>
      </c>
      <c r="F147" s="8" t="s">
        <v>13</v>
      </c>
      <c r="G147" s="8">
        <v>4.0</v>
      </c>
      <c r="H147" s="8">
        <v>2.0</v>
      </c>
      <c r="I147" s="8" t="s">
        <v>14</v>
      </c>
      <c r="J147" s="8" t="s">
        <v>16</v>
      </c>
      <c r="K147" s="8" t="s">
        <v>18</v>
      </c>
      <c r="L147" s="8">
        <v>2.0</v>
      </c>
    </row>
    <row r="148">
      <c r="A148" s="5">
        <v>46285.02049998843</v>
      </c>
      <c r="B148" s="8" t="s">
        <v>54</v>
      </c>
      <c r="C148" s="8">
        <v>1.0</v>
      </c>
      <c r="D148" s="8" t="s">
        <v>11</v>
      </c>
      <c r="E148" s="8" t="s">
        <v>12</v>
      </c>
      <c r="F148" s="8" t="s">
        <v>13</v>
      </c>
      <c r="G148" s="8">
        <v>4.0</v>
      </c>
      <c r="H148" s="8">
        <v>2.0</v>
      </c>
      <c r="I148" s="8" t="s">
        <v>14</v>
      </c>
      <c r="J148" s="8" t="s">
        <v>16</v>
      </c>
      <c r="K148" s="8" t="s">
        <v>18</v>
      </c>
      <c r="L148" s="8">
        <v>3.0</v>
      </c>
    </row>
    <row r="149">
      <c r="A149" s="5">
        <v>46285.027233368055</v>
      </c>
      <c r="B149" s="8" t="s">
        <v>7</v>
      </c>
      <c r="C149" s="8">
        <v>1.0</v>
      </c>
      <c r="D149" s="8" t="s">
        <v>11</v>
      </c>
      <c r="E149" s="8" t="s">
        <v>12</v>
      </c>
      <c r="F149" s="8" t="s">
        <v>13</v>
      </c>
      <c r="G149" s="8">
        <v>4.0</v>
      </c>
      <c r="H149" s="8">
        <v>2.0</v>
      </c>
      <c r="I149" s="8" t="s">
        <v>14</v>
      </c>
      <c r="J149" s="8" t="s">
        <v>16</v>
      </c>
      <c r="K149" s="8" t="s">
        <v>18</v>
      </c>
      <c r="L149" s="8">
        <v>0.0</v>
      </c>
    </row>
    <row r="150">
      <c r="A150" s="5">
        <v>46285.027233368055</v>
      </c>
      <c r="B150" s="8" t="s">
        <v>7</v>
      </c>
      <c r="C150" s="8">
        <v>1.0</v>
      </c>
      <c r="D150" s="8" t="s">
        <v>11</v>
      </c>
      <c r="E150" s="8" t="s">
        <v>12</v>
      </c>
      <c r="F150" s="8" t="s">
        <v>13</v>
      </c>
      <c r="G150" s="8">
        <v>4.0</v>
      </c>
      <c r="H150" s="8">
        <v>2.0</v>
      </c>
      <c r="I150" s="8" t="s">
        <v>14</v>
      </c>
      <c r="J150" s="8" t="s">
        <v>16</v>
      </c>
      <c r="K150" s="8" t="s">
        <v>18</v>
      </c>
      <c r="L150" s="8">
        <v>1.0</v>
      </c>
    </row>
    <row r="151">
      <c r="A151" s="5">
        <v>46285.027233368055</v>
      </c>
      <c r="B151" s="8" t="s">
        <v>7</v>
      </c>
      <c r="C151" s="8">
        <v>1.0</v>
      </c>
      <c r="D151" s="8" t="s">
        <v>11</v>
      </c>
      <c r="E151" s="8" t="s">
        <v>12</v>
      </c>
      <c r="F151" s="8" t="s">
        <v>13</v>
      </c>
      <c r="G151" s="8">
        <v>4.0</v>
      </c>
      <c r="H151" s="8">
        <v>2.0</v>
      </c>
      <c r="I151" s="8" t="s">
        <v>14</v>
      </c>
      <c r="J151" s="8" t="s">
        <v>16</v>
      </c>
      <c r="K151" s="8" t="s">
        <v>18</v>
      </c>
      <c r="L151" s="8">
        <v>2.0</v>
      </c>
    </row>
    <row r="152">
      <c r="A152" s="5">
        <v>46285.027233368055</v>
      </c>
      <c r="B152" s="8" t="s">
        <v>7</v>
      </c>
      <c r="C152" s="8">
        <v>1.0</v>
      </c>
      <c r="D152" s="8" t="s">
        <v>11</v>
      </c>
      <c r="E152" s="8" t="s">
        <v>12</v>
      </c>
      <c r="F152" s="8" t="s">
        <v>13</v>
      </c>
      <c r="G152" s="8">
        <v>4.0</v>
      </c>
      <c r="H152" s="8">
        <v>2.0</v>
      </c>
      <c r="I152" s="8" t="s">
        <v>14</v>
      </c>
      <c r="J152" s="8" t="s">
        <v>16</v>
      </c>
      <c r="K152" s="8" t="s">
        <v>18</v>
      </c>
      <c r="L152" s="8">
        <v>3.0</v>
      </c>
    </row>
    <row r="153">
      <c r="A153" s="5">
        <v>46285.03489797453</v>
      </c>
      <c r="B153" s="8" t="s">
        <v>7</v>
      </c>
      <c r="C153" s="8">
        <v>1.0</v>
      </c>
      <c r="D153" s="8" t="s">
        <v>11</v>
      </c>
      <c r="E153" s="8" t="s">
        <v>12</v>
      </c>
      <c r="F153" s="8" t="s">
        <v>13</v>
      </c>
      <c r="G153" s="8">
        <v>4.0</v>
      </c>
      <c r="H153" s="8">
        <v>2.0</v>
      </c>
      <c r="I153" s="8" t="s">
        <v>14</v>
      </c>
      <c r="J153" s="8" t="s">
        <v>16</v>
      </c>
      <c r="K153" s="8" t="s">
        <v>18</v>
      </c>
      <c r="L153" s="8">
        <v>0.0</v>
      </c>
    </row>
    <row r="154">
      <c r="A154" s="5">
        <v>46285.03489797453</v>
      </c>
      <c r="B154" s="8" t="s">
        <v>7</v>
      </c>
      <c r="C154" s="8">
        <v>1.0</v>
      </c>
      <c r="D154" s="8" t="s">
        <v>11</v>
      </c>
      <c r="E154" s="8" t="s">
        <v>12</v>
      </c>
      <c r="F154" s="8" t="s">
        <v>13</v>
      </c>
      <c r="G154" s="8">
        <v>4.0</v>
      </c>
      <c r="H154" s="8">
        <v>2.0</v>
      </c>
      <c r="I154" s="8" t="s">
        <v>14</v>
      </c>
      <c r="J154" s="8" t="s">
        <v>16</v>
      </c>
      <c r="K154" s="8" t="s">
        <v>18</v>
      </c>
      <c r="L154" s="8">
        <v>1.0</v>
      </c>
    </row>
    <row r="155">
      <c r="A155" s="5">
        <v>46285.03489797453</v>
      </c>
      <c r="B155" s="8" t="s">
        <v>7</v>
      </c>
      <c r="C155" s="8">
        <v>1.0</v>
      </c>
      <c r="D155" s="8" t="s">
        <v>11</v>
      </c>
      <c r="E155" s="8" t="s">
        <v>12</v>
      </c>
      <c r="F155" s="8" t="s">
        <v>13</v>
      </c>
      <c r="G155" s="8">
        <v>4.0</v>
      </c>
      <c r="H155" s="8">
        <v>2.0</v>
      </c>
      <c r="I155" s="8" t="s">
        <v>14</v>
      </c>
      <c r="J155" s="8" t="s">
        <v>16</v>
      </c>
      <c r="K155" s="8" t="s">
        <v>18</v>
      </c>
      <c r="L155" s="8">
        <v>2.0</v>
      </c>
    </row>
    <row r="156">
      <c r="A156" s="5">
        <v>46285.03489797453</v>
      </c>
      <c r="B156" s="8" t="s">
        <v>7</v>
      </c>
      <c r="C156" s="8">
        <v>1.0</v>
      </c>
      <c r="D156" s="8" t="s">
        <v>11</v>
      </c>
      <c r="E156" s="8" t="s">
        <v>12</v>
      </c>
      <c r="F156" s="8" t="s">
        <v>13</v>
      </c>
      <c r="G156" s="8">
        <v>4.0</v>
      </c>
      <c r="H156" s="8">
        <v>2.0</v>
      </c>
      <c r="I156" s="8" t="s">
        <v>14</v>
      </c>
      <c r="J156" s="8" t="s">
        <v>16</v>
      </c>
      <c r="K156" s="8" t="s">
        <v>18</v>
      </c>
      <c r="L156" s="8">
        <v>3.0</v>
      </c>
    </row>
    <row r="157">
      <c r="A157" s="5">
        <v>46285.367746504635</v>
      </c>
      <c r="B157" s="8" t="s">
        <v>7</v>
      </c>
      <c r="C157" s="8">
        <v>1.0</v>
      </c>
      <c r="D157" s="8" t="s">
        <v>11</v>
      </c>
      <c r="E157" s="8" t="s">
        <v>12</v>
      </c>
      <c r="F157" s="8" t="s">
        <v>13</v>
      </c>
      <c r="G157" s="8">
        <v>4.0</v>
      </c>
      <c r="H157" s="8">
        <v>2.0</v>
      </c>
      <c r="I157" s="8" t="s">
        <v>14</v>
      </c>
      <c r="J157" s="8" t="s">
        <v>16</v>
      </c>
      <c r="K157" s="8" t="s">
        <v>18</v>
      </c>
      <c r="L157" s="8">
        <v>0.0</v>
      </c>
    </row>
    <row r="158">
      <c r="A158" s="5">
        <v>46285.367746504635</v>
      </c>
      <c r="B158" s="8" t="s">
        <v>7</v>
      </c>
      <c r="C158" s="8">
        <v>1.0</v>
      </c>
      <c r="D158" s="8" t="s">
        <v>11</v>
      </c>
      <c r="E158" s="8" t="s">
        <v>12</v>
      </c>
      <c r="F158" s="8" t="s">
        <v>13</v>
      </c>
      <c r="G158" s="8">
        <v>4.0</v>
      </c>
      <c r="H158" s="8">
        <v>2.0</v>
      </c>
      <c r="I158" s="8" t="s">
        <v>14</v>
      </c>
      <c r="J158" s="8" t="s">
        <v>16</v>
      </c>
      <c r="K158" s="8" t="s">
        <v>18</v>
      </c>
      <c r="L158" s="8">
        <v>1.0</v>
      </c>
    </row>
    <row r="159">
      <c r="A159" s="5">
        <v>46285.367746504635</v>
      </c>
      <c r="B159" s="8" t="s">
        <v>7</v>
      </c>
      <c r="C159" s="8">
        <v>1.0</v>
      </c>
      <c r="D159" s="8" t="s">
        <v>11</v>
      </c>
      <c r="E159" s="8" t="s">
        <v>12</v>
      </c>
      <c r="F159" s="8" t="s">
        <v>13</v>
      </c>
      <c r="G159" s="8">
        <v>4.0</v>
      </c>
      <c r="H159" s="8">
        <v>2.0</v>
      </c>
      <c r="I159" s="8" t="s">
        <v>14</v>
      </c>
      <c r="J159" s="8" t="s">
        <v>16</v>
      </c>
      <c r="K159" s="8" t="s">
        <v>18</v>
      </c>
      <c r="L159" s="8">
        <v>2.0</v>
      </c>
    </row>
    <row r="160">
      <c r="A160" s="5">
        <v>46285.367746504635</v>
      </c>
      <c r="B160" s="8" t="s">
        <v>7</v>
      </c>
      <c r="C160" s="8">
        <v>1.0</v>
      </c>
      <c r="D160" s="8" t="s">
        <v>11</v>
      </c>
      <c r="E160" s="8" t="s">
        <v>12</v>
      </c>
      <c r="F160" s="8" t="s">
        <v>13</v>
      </c>
      <c r="G160" s="8">
        <v>4.0</v>
      </c>
      <c r="H160" s="8">
        <v>2.0</v>
      </c>
      <c r="I160" s="8" t="s">
        <v>14</v>
      </c>
      <c r="J160" s="8" t="s">
        <v>16</v>
      </c>
      <c r="K160" s="8" t="s">
        <v>18</v>
      </c>
      <c r="L160" s="8">
        <v>3.0</v>
      </c>
    </row>
    <row r="161">
      <c r="A161" s="5">
        <v>46285.368747002314</v>
      </c>
      <c r="B161" s="8" t="s">
        <v>63</v>
      </c>
      <c r="C161" s="8">
        <v>1.0</v>
      </c>
      <c r="D161" s="8" t="s">
        <v>11</v>
      </c>
      <c r="E161" s="8" t="s">
        <v>12</v>
      </c>
      <c r="F161" s="8" t="s">
        <v>13</v>
      </c>
      <c r="G161" s="8">
        <v>4.0</v>
      </c>
      <c r="H161" s="8">
        <v>2.0</v>
      </c>
      <c r="I161" s="8" t="s">
        <v>14</v>
      </c>
      <c r="J161" s="8" t="s">
        <v>16</v>
      </c>
      <c r="K161" s="8" t="s">
        <v>18</v>
      </c>
      <c r="L161" s="8">
        <v>0.0</v>
      </c>
    </row>
    <row r="162">
      <c r="A162" s="5">
        <v>46285.368747002314</v>
      </c>
      <c r="B162" s="8" t="s">
        <v>63</v>
      </c>
      <c r="C162" s="8">
        <v>1.0</v>
      </c>
      <c r="D162" s="8" t="s">
        <v>11</v>
      </c>
      <c r="E162" s="8" t="s">
        <v>12</v>
      </c>
      <c r="F162" s="8" t="s">
        <v>13</v>
      </c>
      <c r="G162" s="8">
        <v>4.0</v>
      </c>
      <c r="H162" s="8">
        <v>2.0</v>
      </c>
      <c r="I162" s="8" t="s">
        <v>14</v>
      </c>
      <c r="J162" s="8" t="s">
        <v>16</v>
      </c>
      <c r="K162" s="8" t="s">
        <v>18</v>
      </c>
      <c r="L162" s="8">
        <v>1.0</v>
      </c>
    </row>
    <row r="163">
      <c r="A163" s="5">
        <v>46285.368747002314</v>
      </c>
      <c r="B163" s="8" t="s">
        <v>63</v>
      </c>
      <c r="C163" s="8">
        <v>1.0</v>
      </c>
      <c r="D163" s="8" t="s">
        <v>11</v>
      </c>
      <c r="E163" s="8" t="s">
        <v>12</v>
      </c>
      <c r="F163" s="8" t="s">
        <v>13</v>
      </c>
      <c r="G163" s="8">
        <v>4.0</v>
      </c>
      <c r="H163" s="8">
        <v>2.0</v>
      </c>
      <c r="I163" s="8" t="s">
        <v>14</v>
      </c>
      <c r="J163" s="8" t="s">
        <v>16</v>
      </c>
      <c r="K163" s="8" t="s">
        <v>18</v>
      </c>
      <c r="L163" s="8">
        <v>2.0</v>
      </c>
    </row>
    <row r="164">
      <c r="A164" s="5">
        <v>46285.368747002314</v>
      </c>
      <c r="B164" s="8" t="s">
        <v>63</v>
      </c>
      <c r="C164" s="8">
        <v>1.0</v>
      </c>
      <c r="D164" s="8" t="s">
        <v>11</v>
      </c>
      <c r="E164" s="8" t="s">
        <v>12</v>
      </c>
      <c r="F164" s="8" t="s">
        <v>13</v>
      </c>
      <c r="G164" s="8">
        <v>4.0</v>
      </c>
      <c r="H164" s="8">
        <v>2.0</v>
      </c>
      <c r="I164" s="8" t="s">
        <v>14</v>
      </c>
      <c r="J164" s="8" t="s">
        <v>16</v>
      </c>
      <c r="K164" s="8" t="s">
        <v>18</v>
      </c>
      <c r="L164" s="8">
        <v>3.0</v>
      </c>
    </row>
    <row r="165">
      <c r="A165" s="5">
        <v>46285.36920886574</v>
      </c>
      <c r="B165" s="8" t="s">
        <v>207</v>
      </c>
      <c r="C165" s="8">
        <v>1.0</v>
      </c>
      <c r="D165" s="8" t="s">
        <v>11</v>
      </c>
      <c r="E165" s="8" t="s">
        <v>12</v>
      </c>
      <c r="F165" s="8" t="s">
        <v>13</v>
      </c>
      <c r="G165" s="8">
        <v>4.0</v>
      </c>
      <c r="H165" s="8">
        <v>2.0</v>
      </c>
      <c r="I165" s="8" t="s">
        <v>14</v>
      </c>
      <c r="J165" s="8" t="s">
        <v>16</v>
      </c>
      <c r="K165" s="8" t="s">
        <v>18</v>
      </c>
      <c r="L165" s="8">
        <v>0.0</v>
      </c>
    </row>
    <row r="166">
      <c r="A166" s="5">
        <v>46285.36920886574</v>
      </c>
      <c r="B166" s="8" t="s">
        <v>207</v>
      </c>
      <c r="C166" s="8">
        <v>1.0</v>
      </c>
      <c r="D166" s="8" t="s">
        <v>11</v>
      </c>
      <c r="E166" s="8" t="s">
        <v>12</v>
      </c>
      <c r="F166" s="8" t="s">
        <v>13</v>
      </c>
      <c r="G166" s="8">
        <v>4.0</v>
      </c>
      <c r="H166" s="8">
        <v>2.0</v>
      </c>
      <c r="I166" s="8" t="s">
        <v>14</v>
      </c>
      <c r="J166" s="8" t="s">
        <v>16</v>
      </c>
      <c r="K166" s="8" t="s">
        <v>18</v>
      </c>
      <c r="L166" s="8">
        <v>1.0</v>
      </c>
    </row>
    <row r="167">
      <c r="A167" s="5">
        <v>46285.36920886574</v>
      </c>
      <c r="B167" s="8" t="s">
        <v>207</v>
      </c>
      <c r="C167" s="8">
        <v>1.0</v>
      </c>
      <c r="D167" s="8" t="s">
        <v>11</v>
      </c>
      <c r="E167" s="8" t="s">
        <v>12</v>
      </c>
      <c r="F167" s="8" t="s">
        <v>13</v>
      </c>
      <c r="G167" s="8">
        <v>4.0</v>
      </c>
      <c r="H167" s="8">
        <v>2.0</v>
      </c>
      <c r="I167" s="8" t="s">
        <v>14</v>
      </c>
      <c r="J167" s="8" t="s">
        <v>16</v>
      </c>
      <c r="K167" s="8" t="s">
        <v>18</v>
      </c>
      <c r="L167" s="8">
        <v>2.0</v>
      </c>
    </row>
    <row r="168">
      <c r="A168" s="5">
        <v>46285.36920886574</v>
      </c>
      <c r="B168" s="8" t="s">
        <v>207</v>
      </c>
      <c r="C168" s="8">
        <v>1.0</v>
      </c>
      <c r="D168" s="8" t="s">
        <v>11</v>
      </c>
      <c r="E168" s="8" t="s">
        <v>12</v>
      </c>
      <c r="F168" s="8" t="s">
        <v>13</v>
      </c>
      <c r="G168" s="8">
        <v>4.0</v>
      </c>
      <c r="H168" s="8">
        <v>2.0</v>
      </c>
      <c r="I168" s="8" t="s">
        <v>14</v>
      </c>
      <c r="J168" s="8" t="s">
        <v>16</v>
      </c>
      <c r="K168" s="8" t="s">
        <v>18</v>
      </c>
      <c r="L168" s="8">
        <v>3.0</v>
      </c>
    </row>
    <row r="169">
      <c r="A169" s="5">
        <v>46285.36949085648</v>
      </c>
      <c r="B169" s="8" t="s">
        <v>49</v>
      </c>
      <c r="C169" s="8">
        <v>1.0</v>
      </c>
      <c r="D169" s="8" t="s">
        <v>11</v>
      </c>
      <c r="E169" s="8" t="s">
        <v>12</v>
      </c>
      <c r="F169" s="8" t="s">
        <v>13</v>
      </c>
      <c r="G169" s="8">
        <v>4.0</v>
      </c>
      <c r="H169" s="8">
        <v>2.0</v>
      </c>
      <c r="I169" s="8" t="s">
        <v>14</v>
      </c>
      <c r="J169" s="8" t="s">
        <v>16</v>
      </c>
      <c r="K169" s="8" t="s">
        <v>18</v>
      </c>
      <c r="L169" s="8">
        <v>0.0</v>
      </c>
    </row>
    <row r="170">
      <c r="A170" s="5">
        <v>46285.36949085648</v>
      </c>
      <c r="B170" s="8" t="s">
        <v>49</v>
      </c>
      <c r="C170" s="8">
        <v>1.0</v>
      </c>
      <c r="D170" s="8" t="s">
        <v>11</v>
      </c>
      <c r="E170" s="8" t="s">
        <v>12</v>
      </c>
      <c r="F170" s="8" t="s">
        <v>13</v>
      </c>
      <c r="G170" s="8">
        <v>4.0</v>
      </c>
      <c r="H170" s="8">
        <v>2.0</v>
      </c>
      <c r="I170" s="8" t="s">
        <v>14</v>
      </c>
      <c r="J170" s="8" t="s">
        <v>16</v>
      </c>
      <c r="K170" s="8" t="s">
        <v>18</v>
      </c>
      <c r="L170" s="8">
        <v>1.0</v>
      </c>
    </row>
    <row r="171">
      <c r="A171" s="5">
        <v>46285.36949085648</v>
      </c>
      <c r="B171" s="8" t="s">
        <v>49</v>
      </c>
      <c r="C171" s="8">
        <v>1.0</v>
      </c>
      <c r="D171" s="8" t="s">
        <v>11</v>
      </c>
      <c r="E171" s="8" t="s">
        <v>12</v>
      </c>
      <c r="F171" s="8" t="s">
        <v>13</v>
      </c>
      <c r="G171" s="8">
        <v>4.0</v>
      </c>
      <c r="H171" s="8">
        <v>2.0</v>
      </c>
      <c r="I171" s="8" t="s">
        <v>14</v>
      </c>
      <c r="J171" s="8" t="s">
        <v>16</v>
      </c>
      <c r="K171" s="8" t="s">
        <v>18</v>
      </c>
      <c r="L171" s="8">
        <v>2.0</v>
      </c>
    </row>
    <row r="172">
      <c r="A172" s="5">
        <v>46285.36949085648</v>
      </c>
      <c r="B172" s="8" t="s">
        <v>49</v>
      </c>
      <c r="C172" s="8">
        <v>1.0</v>
      </c>
      <c r="D172" s="8" t="s">
        <v>11</v>
      </c>
      <c r="E172" s="8" t="s">
        <v>12</v>
      </c>
      <c r="F172" s="8" t="s">
        <v>13</v>
      </c>
      <c r="G172" s="8">
        <v>4.0</v>
      </c>
      <c r="H172" s="8">
        <v>2.0</v>
      </c>
      <c r="I172" s="8" t="s">
        <v>14</v>
      </c>
      <c r="J172" s="8" t="s">
        <v>16</v>
      </c>
      <c r="K172" s="8" t="s">
        <v>18</v>
      </c>
      <c r="L172" s="8">
        <v>3.0</v>
      </c>
    </row>
    <row r="173">
      <c r="A173" s="5">
        <v>46285.37987899306</v>
      </c>
      <c r="B173" s="8" t="s">
        <v>18</v>
      </c>
      <c r="C173" s="8">
        <v>1.0</v>
      </c>
      <c r="D173" s="8" t="s">
        <v>11</v>
      </c>
      <c r="E173" s="8" t="s">
        <v>12</v>
      </c>
      <c r="F173" s="8" t="s">
        <v>13</v>
      </c>
      <c r="G173" s="8">
        <v>4.0</v>
      </c>
      <c r="H173" s="8">
        <v>2.0</v>
      </c>
      <c r="I173" s="8" t="s">
        <v>14</v>
      </c>
      <c r="J173" s="8" t="s">
        <v>16</v>
      </c>
      <c r="K173" s="8" t="s">
        <v>18</v>
      </c>
      <c r="L173" s="8">
        <v>0.0</v>
      </c>
    </row>
    <row r="174">
      <c r="A174" s="5">
        <v>46285.37987899306</v>
      </c>
      <c r="B174" s="8" t="s">
        <v>18</v>
      </c>
      <c r="C174" s="8">
        <v>1.0</v>
      </c>
      <c r="D174" s="8" t="s">
        <v>11</v>
      </c>
      <c r="E174" s="8" t="s">
        <v>12</v>
      </c>
      <c r="F174" s="8" t="s">
        <v>13</v>
      </c>
      <c r="G174" s="8">
        <v>4.0</v>
      </c>
      <c r="H174" s="8">
        <v>2.0</v>
      </c>
      <c r="I174" s="8" t="s">
        <v>14</v>
      </c>
      <c r="J174" s="8" t="s">
        <v>16</v>
      </c>
      <c r="K174" s="8" t="s">
        <v>18</v>
      </c>
      <c r="L174" s="8">
        <v>1.0</v>
      </c>
    </row>
    <row r="175">
      <c r="A175" s="5">
        <v>46285.37987899306</v>
      </c>
      <c r="B175" s="8" t="s">
        <v>18</v>
      </c>
      <c r="C175" s="8">
        <v>1.0</v>
      </c>
      <c r="D175" s="8" t="s">
        <v>11</v>
      </c>
      <c r="E175" s="8" t="s">
        <v>12</v>
      </c>
      <c r="F175" s="8" t="s">
        <v>13</v>
      </c>
      <c r="G175" s="8">
        <v>4.0</v>
      </c>
      <c r="H175" s="8">
        <v>2.0</v>
      </c>
      <c r="I175" s="8" t="s">
        <v>14</v>
      </c>
      <c r="J175" s="8" t="s">
        <v>16</v>
      </c>
      <c r="K175" s="8" t="s">
        <v>18</v>
      </c>
      <c r="L175" s="8">
        <v>2.0</v>
      </c>
    </row>
    <row r="176">
      <c r="A176" s="5">
        <v>46285.37987899306</v>
      </c>
      <c r="B176" s="8" t="s">
        <v>18</v>
      </c>
      <c r="C176" s="8">
        <v>1.0</v>
      </c>
      <c r="D176" s="8" t="s">
        <v>11</v>
      </c>
      <c r="E176" s="8" t="s">
        <v>12</v>
      </c>
      <c r="F176" s="8" t="s">
        <v>13</v>
      </c>
      <c r="G176" s="8">
        <v>4.0</v>
      </c>
      <c r="H176" s="8">
        <v>2.0</v>
      </c>
      <c r="I176" s="8" t="s">
        <v>14</v>
      </c>
      <c r="J176" s="8" t="s">
        <v>16</v>
      </c>
      <c r="K176" s="8" t="s">
        <v>18</v>
      </c>
      <c r="L176" s="8">
        <v>3.0</v>
      </c>
    </row>
    <row r="177">
      <c r="A177" s="5">
        <v>46285.384032766204</v>
      </c>
      <c r="B177" s="8" t="s">
        <v>18</v>
      </c>
      <c r="C177" s="8">
        <v>1.0</v>
      </c>
      <c r="D177" s="8" t="s">
        <v>11</v>
      </c>
      <c r="E177" s="8" t="s">
        <v>12</v>
      </c>
      <c r="F177" s="8" t="s">
        <v>13</v>
      </c>
      <c r="G177" s="8">
        <v>4.0</v>
      </c>
      <c r="H177" s="8">
        <v>2.0</v>
      </c>
      <c r="I177" s="8" t="s">
        <v>14</v>
      </c>
      <c r="J177" s="8" t="s">
        <v>16</v>
      </c>
      <c r="K177" s="8" t="s">
        <v>18</v>
      </c>
      <c r="L177" s="8">
        <v>0.0</v>
      </c>
      <c r="M177" s="8" t="s">
        <v>219</v>
      </c>
    </row>
    <row r="178">
      <c r="A178" s="5">
        <v>46285.384032766204</v>
      </c>
      <c r="B178" s="8" t="s">
        <v>18</v>
      </c>
      <c r="C178" s="8">
        <v>1.0</v>
      </c>
      <c r="D178" s="8" t="s">
        <v>11</v>
      </c>
      <c r="E178" s="8" t="s">
        <v>12</v>
      </c>
      <c r="F178" s="8" t="s">
        <v>13</v>
      </c>
      <c r="G178" s="8">
        <v>4.0</v>
      </c>
      <c r="H178" s="8">
        <v>2.0</v>
      </c>
      <c r="I178" s="8" t="s">
        <v>14</v>
      </c>
      <c r="J178" s="8" t="s">
        <v>16</v>
      </c>
      <c r="K178" s="8" t="s">
        <v>18</v>
      </c>
      <c r="L178" s="8">
        <v>1.0</v>
      </c>
      <c r="M178" s="8" t="s">
        <v>219</v>
      </c>
    </row>
    <row r="179">
      <c r="A179" s="5">
        <v>46285.384032766204</v>
      </c>
      <c r="B179" s="8" t="s">
        <v>18</v>
      </c>
      <c r="C179" s="8">
        <v>1.0</v>
      </c>
      <c r="D179" s="8" t="s">
        <v>11</v>
      </c>
      <c r="E179" s="8" t="s">
        <v>12</v>
      </c>
      <c r="F179" s="8" t="s">
        <v>13</v>
      </c>
      <c r="G179" s="8">
        <v>4.0</v>
      </c>
      <c r="H179" s="8">
        <v>2.0</v>
      </c>
      <c r="I179" s="8" t="s">
        <v>14</v>
      </c>
      <c r="J179" s="8" t="s">
        <v>16</v>
      </c>
      <c r="K179" s="8" t="s">
        <v>18</v>
      </c>
      <c r="L179" s="8">
        <v>2.0</v>
      </c>
      <c r="M179" s="8" t="s">
        <v>219</v>
      </c>
    </row>
    <row r="180">
      <c r="A180" s="5">
        <v>46285.384032766204</v>
      </c>
      <c r="B180" s="8" t="s">
        <v>18</v>
      </c>
      <c r="C180" s="8">
        <v>1.0</v>
      </c>
      <c r="D180" s="8" t="s">
        <v>11</v>
      </c>
      <c r="E180" s="8" t="s">
        <v>12</v>
      </c>
      <c r="F180" s="8" t="s">
        <v>13</v>
      </c>
      <c r="G180" s="8">
        <v>4.0</v>
      </c>
      <c r="H180" s="8">
        <v>2.0</v>
      </c>
      <c r="I180" s="8" t="s">
        <v>14</v>
      </c>
      <c r="J180" s="8" t="s">
        <v>16</v>
      </c>
      <c r="K180" s="8" t="s">
        <v>18</v>
      </c>
      <c r="L180" s="8">
        <v>3.0</v>
      </c>
      <c r="M180" s="8" t="s">
        <v>219</v>
      </c>
    </row>
    <row r="181">
      <c r="A181" s="5">
        <v>46285.390687453706</v>
      </c>
      <c r="B181" s="8" t="s">
        <v>18</v>
      </c>
      <c r="C181" s="8">
        <v>1.0</v>
      </c>
      <c r="D181" s="8" t="s">
        <v>11</v>
      </c>
      <c r="E181" s="8" t="s">
        <v>12</v>
      </c>
      <c r="F181" s="8" t="s">
        <v>13</v>
      </c>
      <c r="G181" s="8">
        <v>4.0</v>
      </c>
      <c r="H181" s="8">
        <v>2.0</v>
      </c>
      <c r="I181" s="8" t="s">
        <v>14</v>
      </c>
      <c r="J181" s="8" t="s">
        <v>16</v>
      </c>
      <c r="K181" s="8" t="s">
        <v>18</v>
      </c>
      <c r="L181" s="8">
        <v>0.0</v>
      </c>
      <c r="M181" s="8" t="s">
        <v>225</v>
      </c>
    </row>
    <row r="182">
      <c r="A182" s="5">
        <v>46285.390687453706</v>
      </c>
      <c r="B182" s="8" t="s">
        <v>18</v>
      </c>
      <c r="C182" s="8">
        <v>1.0</v>
      </c>
      <c r="D182" s="8" t="s">
        <v>11</v>
      </c>
      <c r="E182" s="8" t="s">
        <v>12</v>
      </c>
      <c r="F182" s="8" t="s">
        <v>13</v>
      </c>
      <c r="G182" s="8">
        <v>4.0</v>
      </c>
      <c r="H182" s="8">
        <v>2.0</v>
      </c>
      <c r="I182" s="8" t="s">
        <v>14</v>
      </c>
      <c r="J182" s="8" t="s">
        <v>16</v>
      </c>
      <c r="K182" s="8" t="s">
        <v>18</v>
      </c>
      <c r="L182" s="8">
        <v>1.0</v>
      </c>
      <c r="M182" s="8" t="s">
        <v>225</v>
      </c>
    </row>
    <row r="183">
      <c r="A183" s="5">
        <v>46285.390687453706</v>
      </c>
      <c r="B183" s="8" t="s">
        <v>18</v>
      </c>
      <c r="C183" s="8">
        <v>1.0</v>
      </c>
      <c r="D183" s="8" t="s">
        <v>11</v>
      </c>
      <c r="E183" s="8" t="s">
        <v>12</v>
      </c>
      <c r="F183" s="8" t="s">
        <v>13</v>
      </c>
      <c r="G183" s="8">
        <v>4.0</v>
      </c>
      <c r="H183" s="8">
        <v>2.0</v>
      </c>
      <c r="I183" s="8" t="s">
        <v>14</v>
      </c>
      <c r="J183" s="8" t="s">
        <v>16</v>
      </c>
      <c r="K183" s="8" t="s">
        <v>18</v>
      </c>
      <c r="L183" s="8">
        <v>2.0</v>
      </c>
      <c r="M183" s="8" t="s">
        <v>225</v>
      </c>
    </row>
    <row r="184">
      <c r="A184" s="5">
        <v>46285.390687453706</v>
      </c>
      <c r="B184" s="8" t="s">
        <v>18</v>
      </c>
      <c r="C184" s="8">
        <v>1.0</v>
      </c>
      <c r="D184" s="8" t="s">
        <v>11</v>
      </c>
      <c r="E184" s="8" t="s">
        <v>12</v>
      </c>
      <c r="F184" s="8" t="s">
        <v>13</v>
      </c>
      <c r="G184" s="8">
        <v>4.0</v>
      </c>
      <c r="H184" s="8">
        <v>2.0</v>
      </c>
      <c r="I184" s="8" t="s">
        <v>14</v>
      </c>
      <c r="J184" s="8" t="s">
        <v>16</v>
      </c>
      <c r="K184" s="8" t="s">
        <v>18</v>
      </c>
      <c r="L184" s="8">
        <v>3.0</v>
      </c>
      <c r="M184" s="8" t="s">
        <v>225</v>
      </c>
    </row>
    <row r="185">
      <c r="A185" s="5">
        <v>46285.55653458333</v>
      </c>
      <c r="B185" s="8" t="s">
        <v>164</v>
      </c>
      <c r="C185" s="8">
        <v>1.0</v>
      </c>
      <c r="D185" s="8" t="s">
        <v>11</v>
      </c>
      <c r="E185" s="8" t="s">
        <v>12</v>
      </c>
      <c r="F185" s="8" t="s">
        <v>13</v>
      </c>
      <c r="G185" s="8">
        <v>4.0</v>
      </c>
      <c r="H185" s="8">
        <v>2.0</v>
      </c>
      <c r="I185" s="8" t="s">
        <v>14</v>
      </c>
      <c r="J185" s="8" t="s">
        <v>16</v>
      </c>
      <c r="K185" s="8" t="s">
        <v>18</v>
      </c>
      <c r="L185" s="8">
        <v>0.0</v>
      </c>
      <c r="M185" s="8" t="s">
        <v>225</v>
      </c>
    </row>
    <row r="186">
      <c r="A186" s="5">
        <v>46285.55653458333</v>
      </c>
      <c r="B186" s="8" t="s">
        <v>164</v>
      </c>
      <c r="C186" s="8">
        <v>1.0</v>
      </c>
      <c r="D186" s="8" t="s">
        <v>11</v>
      </c>
      <c r="E186" s="8" t="s">
        <v>12</v>
      </c>
      <c r="F186" s="8" t="s">
        <v>13</v>
      </c>
      <c r="G186" s="8">
        <v>4.0</v>
      </c>
      <c r="H186" s="8">
        <v>2.0</v>
      </c>
      <c r="I186" s="8" t="s">
        <v>14</v>
      </c>
      <c r="J186" s="8" t="s">
        <v>16</v>
      </c>
      <c r="K186" s="8" t="s">
        <v>18</v>
      </c>
      <c r="L186" s="8">
        <v>1.0</v>
      </c>
      <c r="M186" s="8" t="s">
        <v>225</v>
      </c>
    </row>
    <row r="187">
      <c r="A187" s="5">
        <v>46285.55653458333</v>
      </c>
      <c r="B187" s="8" t="s">
        <v>164</v>
      </c>
      <c r="C187" s="8">
        <v>1.0</v>
      </c>
      <c r="D187" s="8" t="s">
        <v>11</v>
      </c>
      <c r="E187" s="8" t="s">
        <v>12</v>
      </c>
      <c r="F187" s="8" t="s">
        <v>13</v>
      </c>
      <c r="G187" s="8">
        <v>4.0</v>
      </c>
      <c r="H187" s="8">
        <v>2.0</v>
      </c>
      <c r="I187" s="8" t="s">
        <v>14</v>
      </c>
      <c r="J187" s="8" t="s">
        <v>16</v>
      </c>
      <c r="K187" s="8" t="s">
        <v>18</v>
      </c>
      <c r="L187" s="8">
        <v>2.0</v>
      </c>
      <c r="M187" s="8" t="s">
        <v>225</v>
      </c>
    </row>
    <row r="188">
      <c r="A188" s="5">
        <v>46285.55653458333</v>
      </c>
      <c r="B188" s="8" t="s">
        <v>164</v>
      </c>
      <c r="C188" s="8">
        <v>1.0</v>
      </c>
      <c r="D188" s="8" t="s">
        <v>11</v>
      </c>
      <c r="E188" s="8" t="s">
        <v>12</v>
      </c>
      <c r="F188" s="8" t="s">
        <v>13</v>
      </c>
      <c r="G188" s="8">
        <v>4.0</v>
      </c>
      <c r="H188" s="8">
        <v>2.0</v>
      </c>
      <c r="I188" s="8" t="s">
        <v>14</v>
      </c>
      <c r="J188" s="8" t="s">
        <v>16</v>
      </c>
      <c r="K188" s="8" t="s">
        <v>18</v>
      </c>
      <c r="L188" s="8">
        <v>3.0</v>
      </c>
      <c r="M188" s="8" t="s">
        <v>225</v>
      </c>
    </row>
    <row r="189">
      <c r="A189" s="5">
        <v>46285.71928225695</v>
      </c>
      <c r="B189" s="8" t="s">
        <v>49</v>
      </c>
      <c r="C189" s="8">
        <v>1.0</v>
      </c>
      <c r="D189" s="8" t="s">
        <v>11</v>
      </c>
      <c r="E189" s="8" t="s">
        <v>12</v>
      </c>
      <c r="F189" s="8" t="s">
        <v>13</v>
      </c>
      <c r="G189" s="8">
        <v>4.0</v>
      </c>
      <c r="H189" s="8">
        <v>2.0</v>
      </c>
      <c r="I189" s="8" t="s">
        <v>14</v>
      </c>
      <c r="J189" s="8" t="s">
        <v>16</v>
      </c>
      <c r="K189" s="8" t="s">
        <v>18</v>
      </c>
      <c r="L189" s="8">
        <v>0.0</v>
      </c>
      <c r="M189" s="8" t="s">
        <v>225</v>
      </c>
    </row>
    <row r="190">
      <c r="A190" s="5">
        <v>46285.71928225695</v>
      </c>
      <c r="B190" s="8" t="s">
        <v>49</v>
      </c>
      <c r="C190" s="8">
        <v>1.0</v>
      </c>
      <c r="D190" s="8" t="s">
        <v>11</v>
      </c>
      <c r="E190" s="8" t="s">
        <v>12</v>
      </c>
      <c r="F190" s="8" t="s">
        <v>13</v>
      </c>
      <c r="G190" s="8">
        <v>4.0</v>
      </c>
      <c r="H190" s="8">
        <v>2.0</v>
      </c>
      <c r="I190" s="8" t="s">
        <v>14</v>
      </c>
      <c r="J190" s="8" t="s">
        <v>16</v>
      </c>
      <c r="K190" s="8" t="s">
        <v>18</v>
      </c>
      <c r="L190" s="8">
        <v>1.0</v>
      </c>
      <c r="M190" s="8" t="s">
        <v>225</v>
      </c>
    </row>
    <row r="191">
      <c r="A191" s="5">
        <v>46285.71928225695</v>
      </c>
      <c r="B191" s="8" t="s">
        <v>49</v>
      </c>
      <c r="C191" s="8">
        <v>1.0</v>
      </c>
      <c r="D191" s="8" t="s">
        <v>11</v>
      </c>
      <c r="E191" s="8" t="s">
        <v>12</v>
      </c>
      <c r="F191" s="8" t="s">
        <v>13</v>
      </c>
      <c r="G191" s="8">
        <v>4.0</v>
      </c>
      <c r="H191" s="8">
        <v>2.0</v>
      </c>
      <c r="I191" s="8" t="s">
        <v>14</v>
      </c>
      <c r="J191" s="8" t="s">
        <v>16</v>
      </c>
      <c r="K191" s="8" t="s">
        <v>18</v>
      </c>
      <c r="L191" s="8">
        <v>2.0</v>
      </c>
      <c r="M191" s="8" t="s">
        <v>225</v>
      </c>
    </row>
    <row r="192">
      <c r="A192" s="5">
        <v>46285.71928225695</v>
      </c>
      <c r="B192" s="8" t="s">
        <v>49</v>
      </c>
      <c r="C192" s="8">
        <v>1.0</v>
      </c>
      <c r="D192" s="8" t="s">
        <v>11</v>
      </c>
      <c r="E192" s="8" t="s">
        <v>12</v>
      </c>
      <c r="F192" s="8" t="s">
        <v>13</v>
      </c>
      <c r="G192" s="8">
        <v>4.0</v>
      </c>
      <c r="H192" s="8">
        <v>2.0</v>
      </c>
      <c r="I192" s="8" t="s">
        <v>14</v>
      </c>
      <c r="J192" s="8" t="s">
        <v>16</v>
      </c>
      <c r="K192" s="8" t="s">
        <v>18</v>
      </c>
      <c r="L192" s="8">
        <v>3.0</v>
      </c>
      <c r="M192" s="8" t="s">
        <v>225</v>
      </c>
    </row>
    <row r="193">
      <c r="A193" s="5">
        <v>46285.721139166664</v>
      </c>
      <c r="B193" s="8" t="s">
        <v>18</v>
      </c>
      <c r="C193" s="8">
        <v>1.0</v>
      </c>
      <c r="D193" s="8" t="s">
        <v>11</v>
      </c>
      <c r="E193" s="8" t="s">
        <v>12</v>
      </c>
      <c r="F193" s="8" t="s">
        <v>13</v>
      </c>
      <c r="G193" s="8">
        <v>4.0</v>
      </c>
      <c r="H193" s="8">
        <v>2.0</v>
      </c>
      <c r="I193" s="8" t="s">
        <v>14</v>
      </c>
      <c r="J193" s="8" t="s">
        <v>16</v>
      </c>
      <c r="K193" s="8" t="s">
        <v>18</v>
      </c>
      <c r="L193" s="8">
        <v>0.0</v>
      </c>
      <c r="M193" s="8" t="s">
        <v>225</v>
      </c>
    </row>
    <row r="194">
      <c r="A194" s="5">
        <v>46285.721139166664</v>
      </c>
      <c r="B194" s="8" t="s">
        <v>18</v>
      </c>
      <c r="C194" s="8">
        <v>1.0</v>
      </c>
      <c r="D194" s="8" t="s">
        <v>11</v>
      </c>
      <c r="E194" s="8" t="s">
        <v>12</v>
      </c>
      <c r="F194" s="8" t="s">
        <v>13</v>
      </c>
      <c r="G194" s="8">
        <v>4.0</v>
      </c>
      <c r="H194" s="8">
        <v>2.0</v>
      </c>
      <c r="I194" s="8" t="s">
        <v>14</v>
      </c>
      <c r="J194" s="8" t="s">
        <v>16</v>
      </c>
      <c r="K194" s="8" t="s">
        <v>18</v>
      </c>
      <c r="L194" s="8">
        <v>1.0</v>
      </c>
      <c r="M194" s="8" t="s">
        <v>225</v>
      </c>
    </row>
    <row r="195">
      <c r="A195" s="5">
        <v>46285.721139166664</v>
      </c>
      <c r="B195" s="8" t="s">
        <v>18</v>
      </c>
      <c r="C195" s="8">
        <v>1.0</v>
      </c>
      <c r="D195" s="8" t="s">
        <v>11</v>
      </c>
      <c r="E195" s="8" t="s">
        <v>12</v>
      </c>
      <c r="F195" s="8" t="s">
        <v>13</v>
      </c>
      <c r="G195" s="8">
        <v>4.0</v>
      </c>
      <c r="H195" s="8">
        <v>2.0</v>
      </c>
      <c r="I195" s="8" t="s">
        <v>14</v>
      </c>
      <c r="J195" s="8" t="s">
        <v>16</v>
      </c>
      <c r="K195" s="8" t="s">
        <v>18</v>
      </c>
      <c r="L195" s="8">
        <v>2.0</v>
      </c>
      <c r="M195" s="8" t="s">
        <v>225</v>
      </c>
    </row>
    <row r="196">
      <c r="A196" s="5">
        <v>46285.721139166664</v>
      </c>
      <c r="B196" s="8" t="s">
        <v>18</v>
      </c>
      <c r="C196" s="8">
        <v>1.0</v>
      </c>
      <c r="D196" s="8" t="s">
        <v>11</v>
      </c>
      <c r="E196" s="8" t="s">
        <v>12</v>
      </c>
      <c r="F196" s="8" t="s">
        <v>13</v>
      </c>
      <c r="G196" s="8">
        <v>4.0</v>
      </c>
      <c r="H196" s="8">
        <v>2.0</v>
      </c>
      <c r="I196" s="8" t="s">
        <v>14</v>
      </c>
      <c r="J196" s="8" t="s">
        <v>16</v>
      </c>
      <c r="K196" s="8" t="s">
        <v>18</v>
      </c>
      <c r="L196" s="8">
        <v>3.0</v>
      </c>
      <c r="M196" s="8" t="s">
        <v>225</v>
      </c>
    </row>
    <row r="197">
      <c r="A197" s="5">
        <v>46285.72922550926</v>
      </c>
      <c r="B197" s="8" t="s">
        <v>49</v>
      </c>
      <c r="C197" s="8">
        <v>1.0</v>
      </c>
      <c r="D197" s="8" t="s">
        <v>11</v>
      </c>
      <c r="E197" s="8" t="s">
        <v>12</v>
      </c>
      <c r="F197" s="8" t="s">
        <v>13</v>
      </c>
      <c r="G197" s="8">
        <v>4.0</v>
      </c>
      <c r="H197" s="8">
        <v>2.0</v>
      </c>
      <c r="I197" s="8" t="s">
        <v>14</v>
      </c>
      <c r="J197" s="8" t="s">
        <v>16</v>
      </c>
      <c r="K197" s="8" t="s">
        <v>18</v>
      </c>
      <c r="L197" s="8">
        <v>0.0</v>
      </c>
      <c r="M197" s="8" t="s">
        <v>225</v>
      </c>
    </row>
    <row r="198">
      <c r="A198" s="5">
        <v>46285.72922550926</v>
      </c>
      <c r="B198" s="8" t="s">
        <v>49</v>
      </c>
      <c r="C198" s="8">
        <v>1.0</v>
      </c>
      <c r="D198" s="8" t="s">
        <v>11</v>
      </c>
      <c r="E198" s="8" t="s">
        <v>12</v>
      </c>
      <c r="F198" s="8" t="s">
        <v>13</v>
      </c>
      <c r="G198" s="8">
        <v>4.0</v>
      </c>
      <c r="H198" s="8">
        <v>2.0</v>
      </c>
      <c r="I198" s="8" t="s">
        <v>14</v>
      </c>
      <c r="J198" s="8" t="s">
        <v>16</v>
      </c>
      <c r="K198" s="8" t="s">
        <v>18</v>
      </c>
      <c r="L198" s="8">
        <v>1.0</v>
      </c>
      <c r="M198" s="8" t="s">
        <v>225</v>
      </c>
    </row>
    <row r="199">
      <c r="A199" s="5">
        <v>46285.73075368056</v>
      </c>
      <c r="B199" s="8" t="s">
        <v>49</v>
      </c>
      <c r="C199" s="8">
        <v>1.0</v>
      </c>
      <c r="D199" s="8" t="s">
        <v>11</v>
      </c>
      <c r="E199" s="8" t="s">
        <v>12</v>
      </c>
      <c r="F199" s="8" t="s">
        <v>13</v>
      </c>
      <c r="G199" s="8">
        <v>4.0</v>
      </c>
      <c r="H199" s="8">
        <v>2.0</v>
      </c>
      <c r="I199" s="8" t="s">
        <v>14</v>
      </c>
      <c r="J199" s="8" t="s">
        <v>16</v>
      </c>
      <c r="K199" s="8" t="s">
        <v>18</v>
      </c>
      <c r="L199" s="8">
        <v>0.0</v>
      </c>
      <c r="M199" s="8" t="s">
        <v>225</v>
      </c>
    </row>
    <row r="200">
      <c r="A200" s="5">
        <v>46285.73075368056</v>
      </c>
      <c r="B200" s="8" t="s">
        <v>49</v>
      </c>
      <c r="C200" s="8">
        <v>1.0</v>
      </c>
      <c r="D200" s="8" t="s">
        <v>11</v>
      </c>
      <c r="E200" s="8" t="s">
        <v>12</v>
      </c>
      <c r="F200" s="8" t="s">
        <v>13</v>
      </c>
      <c r="G200" s="8">
        <v>4.0</v>
      </c>
      <c r="H200" s="8">
        <v>2.0</v>
      </c>
      <c r="I200" s="8" t="s">
        <v>14</v>
      </c>
      <c r="J200" s="8" t="s">
        <v>16</v>
      </c>
      <c r="K200" s="8" t="s">
        <v>18</v>
      </c>
      <c r="L200" s="8">
        <v>1.0</v>
      </c>
      <c r="M200" s="8" t="s">
        <v>225</v>
      </c>
    </row>
    <row r="201">
      <c r="A201" s="5">
        <v>46285.73754777778</v>
      </c>
      <c r="B201" s="8" t="s">
        <v>253</v>
      </c>
      <c r="C201" s="8">
        <v>1.0</v>
      </c>
      <c r="D201" s="8" t="s">
        <v>11</v>
      </c>
      <c r="E201" s="8" t="s">
        <v>12</v>
      </c>
      <c r="F201" s="8" t="s">
        <v>13</v>
      </c>
      <c r="G201" s="8">
        <v>4.0</v>
      </c>
      <c r="H201" s="8">
        <v>2.0</v>
      </c>
      <c r="I201" s="8" t="s">
        <v>14</v>
      </c>
      <c r="J201" s="8" t="s">
        <v>16</v>
      </c>
      <c r="K201" s="8" t="s">
        <v>18</v>
      </c>
      <c r="L201" s="8">
        <v>0.0</v>
      </c>
      <c r="M201" s="8" t="s">
        <v>225</v>
      </c>
    </row>
    <row r="202">
      <c r="A202" s="5">
        <v>46285.73754777778</v>
      </c>
      <c r="B202" s="8" t="s">
        <v>253</v>
      </c>
      <c r="C202" s="8">
        <v>1.0</v>
      </c>
      <c r="D202" s="8" t="s">
        <v>11</v>
      </c>
      <c r="E202" s="8" t="s">
        <v>12</v>
      </c>
      <c r="F202" s="8" t="s">
        <v>13</v>
      </c>
      <c r="G202" s="8">
        <v>4.0</v>
      </c>
      <c r="H202" s="8">
        <v>2.0</v>
      </c>
      <c r="I202" s="8" t="s">
        <v>14</v>
      </c>
      <c r="J202" s="8" t="s">
        <v>16</v>
      </c>
      <c r="K202" s="8" t="s">
        <v>18</v>
      </c>
      <c r="L202" s="8">
        <v>1.0</v>
      </c>
      <c r="M202" s="8" t="s">
        <v>225</v>
      </c>
    </row>
    <row r="203">
      <c r="A203" s="5">
        <v>46285.738078194445</v>
      </c>
      <c r="B203" s="8" t="s">
        <v>253</v>
      </c>
      <c r="C203" s="8">
        <v>1.0</v>
      </c>
      <c r="D203" s="8" t="s">
        <v>11</v>
      </c>
      <c r="E203" s="8" t="s">
        <v>12</v>
      </c>
      <c r="F203" s="8" t="s">
        <v>13</v>
      </c>
      <c r="G203" s="8">
        <v>4.0</v>
      </c>
      <c r="H203" s="8">
        <v>2.0</v>
      </c>
      <c r="I203" s="8" t="s">
        <v>14</v>
      </c>
      <c r="J203" s="8" t="s">
        <v>16</v>
      </c>
      <c r="K203" s="8" t="s">
        <v>18</v>
      </c>
      <c r="L203" s="8">
        <v>0.0</v>
      </c>
      <c r="M203" s="8" t="s">
        <v>225</v>
      </c>
    </row>
    <row r="204">
      <c r="A204" s="5">
        <v>46285.738078194445</v>
      </c>
      <c r="B204" s="8" t="s">
        <v>253</v>
      </c>
      <c r="C204" s="8">
        <v>1.0</v>
      </c>
      <c r="D204" s="8" t="s">
        <v>11</v>
      </c>
      <c r="E204" s="8" t="s">
        <v>12</v>
      </c>
      <c r="F204" s="8" t="s">
        <v>13</v>
      </c>
      <c r="G204" s="8">
        <v>4.0</v>
      </c>
      <c r="H204" s="8">
        <v>2.0</v>
      </c>
      <c r="I204" s="8" t="s">
        <v>14</v>
      </c>
      <c r="J204" s="8" t="s">
        <v>16</v>
      </c>
      <c r="K204" s="8" t="s">
        <v>18</v>
      </c>
      <c r="L204" s="8">
        <v>1.0</v>
      </c>
      <c r="M204" s="8" t="s">
        <v>225</v>
      </c>
    </row>
    <row r="205">
      <c r="A205" s="5">
        <v>46285.74794569444</v>
      </c>
      <c r="B205" s="8" t="s">
        <v>18</v>
      </c>
      <c r="C205" s="8">
        <v>1.0</v>
      </c>
      <c r="D205" s="8" t="s">
        <v>11</v>
      </c>
      <c r="E205" s="8" t="s">
        <v>12</v>
      </c>
      <c r="F205" s="8" t="s">
        <v>13</v>
      </c>
      <c r="G205" s="8">
        <v>4.0</v>
      </c>
      <c r="H205" s="8">
        <v>2.0</v>
      </c>
      <c r="I205" s="8" t="s">
        <v>14</v>
      </c>
      <c r="J205" s="8" t="s">
        <v>16</v>
      </c>
      <c r="K205" s="8" t="s">
        <v>18</v>
      </c>
      <c r="L205" s="8">
        <v>0.0</v>
      </c>
      <c r="M205" s="8" t="s">
        <v>225</v>
      </c>
    </row>
    <row r="206">
      <c r="A206" s="5">
        <v>46285.74794569444</v>
      </c>
      <c r="B206" s="8" t="s">
        <v>18</v>
      </c>
      <c r="C206" s="8">
        <v>1.0</v>
      </c>
      <c r="D206" s="8" t="s">
        <v>11</v>
      </c>
      <c r="E206" s="8" t="s">
        <v>12</v>
      </c>
      <c r="F206" s="8" t="s">
        <v>13</v>
      </c>
      <c r="G206" s="8">
        <v>4.0</v>
      </c>
      <c r="H206" s="8">
        <v>2.0</v>
      </c>
      <c r="I206" s="8" t="s">
        <v>14</v>
      </c>
      <c r="J206" s="8" t="s">
        <v>16</v>
      </c>
      <c r="K206" s="8" t="s">
        <v>18</v>
      </c>
      <c r="L206" s="8">
        <v>1.0</v>
      </c>
      <c r="M206" s="8" t="s">
        <v>225</v>
      </c>
    </row>
    <row r="207">
      <c r="A207" s="5">
        <v>46285.74794569444</v>
      </c>
      <c r="B207" s="8" t="s">
        <v>18</v>
      </c>
      <c r="C207" s="8">
        <v>1.0</v>
      </c>
      <c r="D207" s="8" t="s">
        <v>11</v>
      </c>
      <c r="E207" s="8" t="s">
        <v>12</v>
      </c>
      <c r="F207" s="8" t="s">
        <v>13</v>
      </c>
      <c r="G207" s="8">
        <v>4.0</v>
      </c>
      <c r="H207" s="8">
        <v>2.0</v>
      </c>
      <c r="I207" s="8" t="s">
        <v>14</v>
      </c>
      <c r="J207" s="8" t="s">
        <v>16</v>
      </c>
      <c r="K207" s="8" t="s">
        <v>18</v>
      </c>
      <c r="L207" s="8">
        <v>2.0</v>
      </c>
      <c r="M207" s="8" t="s">
        <v>225</v>
      </c>
    </row>
    <row r="208">
      <c r="A208" s="5">
        <v>46286.45570659722</v>
      </c>
      <c r="B208" s="8" t="s">
        <v>49</v>
      </c>
      <c r="C208" s="8">
        <v>1.0</v>
      </c>
      <c r="D208" s="8" t="s">
        <v>11</v>
      </c>
      <c r="E208" s="8" t="s">
        <v>12</v>
      </c>
      <c r="F208" s="8" t="s">
        <v>13</v>
      </c>
      <c r="G208" s="8">
        <v>4.0</v>
      </c>
      <c r="H208" s="8">
        <v>2.0</v>
      </c>
      <c r="I208" s="8" t="s">
        <v>14</v>
      </c>
      <c r="J208" s="8" t="s">
        <v>16</v>
      </c>
      <c r="K208" s="8" t="s">
        <v>18</v>
      </c>
      <c r="L208" s="8">
        <v>0.0</v>
      </c>
      <c r="M208" s="8" t="s">
        <v>260</v>
      </c>
    </row>
    <row r="209">
      <c r="A209" s="5">
        <v>46286.45570659722</v>
      </c>
      <c r="B209" s="8" t="s">
        <v>49</v>
      </c>
      <c r="C209" s="8">
        <v>1.0</v>
      </c>
      <c r="D209" s="8" t="s">
        <v>11</v>
      </c>
      <c r="E209" s="8" t="s">
        <v>12</v>
      </c>
      <c r="F209" s="8" t="s">
        <v>13</v>
      </c>
      <c r="G209" s="8">
        <v>4.0</v>
      </c>
      <c r="H209" s="8">
        <v>2.0</v>
      </c>
      <c r="I209" s="8" t="s">
        <v>14</v>
      </c>
      <c r="J209" s="8" t="s">
        <v>16</v>
      </c>
      <c r="K209" s="8" t="s">
        <v>18</v>
      </c>
      <c r="L209" s="8">
        <v>1.0</v>
      </c>
      <c r="M209" s="8" t="s">
        <v>261</v>
      </c>
    </row>
    <row r="210">
      <c r="A210" s="5">
        <v>46286.45570659722</v>
      </c>
      <c r="B210" s="8" t="s">
        <v>49</v>
      </c>
      <c r="C210" s="8">
        <v>1.0</v>
      </c>
      <c r="D210" s="8" t="s">
        <v>11</v>
      </c>
      <c r="E210" s="8" t="s">
        <v>12</v>
      </c>
      <c r="F210" s="8" t="s">
        <v>13</v>
      </c>
      <c r="G210" s="8">
        <v>4.0</v>
      </c>
      <c r="H210" s="8">
        <v>2.0</v>
      </c>
      <c r="I210" s="8" t="s">
        <v>14</v>
      </c>
      <c r="J210" s="8" t="s">
        <v>16</v>
      </c>
      <c r="K210" s="8" t="s">
        <v>18</v>
      </c>
      <c r="L210" s="8">
        <v>2.0</v>
      </c>
      <c r="M210" s="8" t="s">
        <v>262</v>
      </c>
    </row>
    <row r="211">
      <c r="A211" s="5">
        <v>46286.4653777662</v>
      </c>
      <c r="B211" s="8" t="s">
        <v>49</v>
      </c>
      <c r="C211" s="8">
        <v>1.0</v>
      </c>
      <c r="D211" s="8" t="s">
        <v>11</v>
      </c>
      <c r="E211" s="8" t="s">
        <v>12</v>
      </c>
      <c r="F211" s="8" t="s">
        <v>13</v>
      </c>
      <c r="G211" s="8">
        <v>4.0</v>
      </c>
      <c r="H211" s="8">
        <v>2.0</v>
      </c>
      <c r="I211" s="8" t="s">
        <v>14</v>
      </c>
      <c r="J211" s="8" t="s">
        <v>16</v>
      </c>
      <c r="K211" s="8" t="s">
        <v>18</v>
      </c>
      <c r="L211" s="8">
        <v>0.0</v>
      </c>
      <c r="M211" s="8" t="s">
        <v>225</v>
      </c>
    </row>
    <row r="212">
      <c r="A212" s="5">
        <v>46286.4653777662</v>
      </c>
      <c r="B212" s="8" t="s">
        <v>49</v>
      </c>
      <c r="C212" s="8">
        <v>1.0</v>
      </c>
      <c r="D212" s="8" t="s">
        <v>11</v>
      </c>
      <c r="E212" s="8" t="s">
        <v>12</v>
      </c>
      <c r="F212" s="8" t="s">
        <v>13</v>
      </c>
      <c r="G212" s="8">
        <v>4.0</v>
      </c>
      <c r="H212" s="8">
        <v>2.0</v>
      </c>
      <c r="I212" s="8" t="s">
        <v>14</v>
      </c>
      <c r="J212" s="8" t="s">
        <v>16</v>
      </c>
      <c r="K212" s="8" t="s">
        <v>18</v>
      </c>
      <c r="L212" s="8">
        <v>1.0</v>
      </c>
      <c r="M212" s="8" t="s">
        <v>263</v>
      </c>
    </row>
    <row r="213">
      <c r="A213" s="5">
        <v>46286.4653777662</v>
      </c>
      <c r="B213" s="8" t="s">
        <v>49</v>
      </c>
      <c r="C213" s="8">
        <v>1.0</v>
      </c>
      <c r="D213" s="8" t="s">
        <v>11</v>
      </c>
      <c r="E213" s="8" t="s">
        <v>12</v>
      </c>
      <c r="F213" s="8" t="s">
        <v>13</v>
      </c>
      <c r="G213" s="8">
        <v>4.0</v>
      </c>
      <c r="H213" s="8">
        <v>2.0</v>
      </c>
      <c r="I213" s="8" t="s">
        <v>14</v>
      </c>
      <c r="J213" s="8" t="s">
        <v>16</v>
      </c>
      <c r="K213" s="8" t="s">
        <v>18</v>
      </c>
      <c r="L213" s="8">
        <v>2.0</v>
      </c>
      <c r="M213" s="8" t="s">
        <v>225</v>
      </c>
    </row>
    <row r="214">
      <c r="A214" s="5">
        <v>46286.46649762732</v>
      </c>
      <c r="B214" s="8" t="s">
        <v>49</v>
      </c>
      <c r="C214" s="8">
        <v>1.0</v>
      </c>
      <c r="D214" s="8" t="s">
        <v>11</v>
      </c>
      <c r="E214" s="8" t="s">
        <v>12</v>
      </c>
      <c r="F214" s="8" t="s">
        <v>13</v>
      </c>
      <c r="G214" s="8">
        <v>4.0</v>
      </c>
      <c r="H214" s="8">
        <v>2.0</v>
      </c>
      <c r="I214" s="8" t="s">
        <v>14</v>
      </c>
      <c r="J214" s="8" t="s">
        <v>16</v>
      </c>
      <c r="K214" s="8" t="s">
        <v>18</v>
      </c>
      <c r="L214" s="8">
        <v>0.0</v>
      </c>
      <c r="M214" s="8" t="s">
        <v>225</v>
      </c>
    </row>
    <row r="215">
      <c r="A215" s="5">
        <v>46286.46649762732</v>
      </c>
      <c r="B215" s="8" t="s">
        <v>49</v>
      </c>
      <c r="C215" s="8">
        <v>1.0</v>
      </c>
      <c r="D215" s="8" t="s">
        <v>11</v>
      </c>
      <c r="E215" s="8" t="s">
        <v>12</v>
      </c>
      <c r="F215" s="8" t="s">
        <v>13</v>
      </c>
      <c r="G215" s="8">
        <v>4.0</v>
      </c>
      <c r="H215" s="8">
        <v>2.0</v>
      </c>
      <c r="I215" s="8" t="s">
        <v>14</v>
      </c>
      <c r="J215" s="8" t="s">
        <v>16</v>
      </c>
      <c r="K215" s="8" t="s">
        <v>18</v>
      </c>
      <c r="L215" s="8">
        <v>1.0</v>
      </c>
      <c r="M215" s="8" t="s">
        <v>225</v>
      </c>
    </row>
    <row r="216">
      <c r="A216" s="5">
        <v>46286.46649762732</v>
      </c>
      <c r="B216" s="8" t="s">
        <v>49</v>
      </c>
      <c r="C216" s="8">
        <v>1.0</v>
      </c>
      <c r="D216" s="8" t="s">
        <v>11</v>
      </c>
      <c r="E216" s="8" t="s">
        <v>12</v>
      </c>
      <c r="F216" s="8" t="s">
        <v>13</v>
      </c>
      <c r="G216" s="8">
        <v>4.0</v>
      </c>
      <c r="H216" s="8">
        <v>2.0</v>
      </c>
      <c r="I216" s="8" t="s">
        <v>14</v>
      </c>
      <c r="J216" s="8" t="s">
        <v>16</v>
      </c>
      <c r="K216" s="8" t="s">
        <v>18</v>
      </c>
      <c r="L216" s="8">
        <v>2.0</v>
      </c>
      <c r="M216" s="8" t="s">
        <v>225</v>
      </c>
    </row>
    <row r="217">
      <c r="A217" s="5">
        <v>46286.477622453705</v>
      </c>
      <c r="B217" s="8" t="s">
        <v>18</v>
      </c>
      <c r="C217" s="8">
        <v>1.0</v>
      </c>
      <c r="D217" s="8" t="s">
        <v>11</v>
      </c>
      <c r="E217" s="8" t="s">
        <v>12</v>
      </c>
      <c r="F217" s="8" t="s">
        <v>13</v>
      </c>
      <c r="G217" s="8">
        <v>4.0</v>
      </c>
      <c r="H217" s="8">
        <v>2.0</v>
      </c>
      <c r="I217" s="8" t="s">
        <v>14</v>
      </c>
      <c r="J217" s="8" t="s">
        <v>16</v>
      </c>
      <c r="K217" s="8" t="s">
        <v>18</v>
      </c>
      <c r="L217" s="8">
        <v>0.0</v>
      </c>
      <c r="M217" s="8" t="s">
        <v>225</v>
      </c>
    </row>
    <row r="218">
      <c r="A218" s="5">
        <v>46286.477622453705</v>
      </c>
      <c r="B218" s="8" t="s">
        <v>18</v>
      </c>
      <c r="C218" s="8">
        <v>1.0</v>
      </c>
      <c r="D218" s="8" t="s">
        <v>11</v>
      </c>
      <c r="E218" s="8" t="s">
        <v>12</v>
      </c>
      <c r="F218" s="8" t="s">
        <v>13</v>
      </c>
      <c r="G218" s="8">
        <v>4.0</v>
      </c>
      <c r="H218" s="8">
        <v>2.0</v>
      </c>
      <c r="I218" s="8" t="s">
        <v>14</v>
      </c>
      <c r="J218" s="8" t="s">
        <v>16</v>
      </c>
      <c r="K218" s="8" t="s">
        <v>18</v>
      </c>
      <c r="L218" s="8">
        <v>1.0</v>
      </c>
      <c r="M218" s="8" t="s">
        <v>264</v>
      </c>
    </row>
    <row r="219">
      <c r="A219" s="5">
        <v>46286.477622453705</v>
      </c>
      <c r="B219" s="8" t="s">
        <v>18</v>
      </c>
      <c r="C219" s="8">
        <v>1.0</v>
      </c>
      <c r="D219" s="8" t="s">
        <v>11</v>
      </c>
      <c r="E219" s="8" t="s">
        <v>12</v>
      </c>
      <c r="F219" s="8" t="s">
        <v>13</v>
      </c>
      <c r="G219" s="8">
        <v>4.0</v>
      </c>
      <c r="H219" s="8">
        <v>2.0</v>
      </c>
      <c r="I219" s="8" t="s">
        <v>14</v>
      </c>
      <c r="J219" s="8" t="s">
        <v>16</v>
      </c>
      <c r="K219" s="8" t="s">
        <v>18</v>
      </c>
      <c r="L219" s="8">
        <v>2.0</v>
      </c>
      <c r="M219" s="8" t="s">
        <v>225</v>
      </c>
    </row>
    <row r="220">
      <c r="A220" s="5">
        <v>46287.387632812504</v>
      </c>
      <c r="B220" s="8" t="s">
        <v>7</v>
      </c>
      <c r="C220" s="8">
        <v>1.0</v>
      </c>
      <c r="D220" s="8" t="s">
        <v>11</v>
      </c>
      <c r="E220" s="8" t="s">
        <v>12</v>
      </c>
      <c r="F220" s="8" t="s">
        <v>13</v>
      </c>
      <c r="G220" s="8">
        <v>4.0</v>
      </c>
      <c r="H220" s="8">
        <v>2.0</v>
      </c>
      <c r="I220" s="8" t="s">
        <v>14</v>
      </c>
      <c r="J220" s="8" t="s">
        <v>16</v>
      </c>
      <c r="K220" s="8" t="s">
        <v>18</v>
      </c>
      <c r="L220" s="8">
        <v>0.0</v>
      </c>
      <c r="M220" s="8" t="s">
        <v>265</v>
      </c>
    </row>
    <row r="221">
      <c r="A221" s="5">
        <v>46287.387632812504</v>
      </c>
      <c r="B221" s="8" t="s">
        <v>7</v>
      </c>
      <c r="C221" s="8">
        <v>1.0</v>
      </c>
      <c r="D221" s="8" t="s">
        <v>11</v>
      </c>
      <c r="E221" s="8" t="s">
        <v>12</v>
      </c>
      <c r="F221" s="8" t="s">
        <v>13</v>
      </c>
      <c r="G221" s="8">
        <v>4.0</v>
      </c>
      <c r="H221" s="8">
        <v>2.0</v>
      </c>
      <c r="I221" s="8" t="s">
        <v>14</v>
      </c>
      <c r="J221" s="8" t="s">
        <v>16</v>
      </c>
      <c r="K221" s="8" t="s">
        <v>18</v>
      </c>
      <c r="L221" s="8">
        <v>1.0</v>
      </c>
      <c r="M221" s="8" t="s">
        <v>266</v>
      </c>
    </row>
    <row r="222">
      <c r="A222" s="5">
        <v>46287.387632812504</v>
      </c>
      <c r="B222" s="8" t="s">
        <v>7</v>
      </c>
      <c r="C222" s="8">
        <v>1.0</v>
      </c>
      <c r="D222" s="8" t="s">
        <v>11</v>
      </c>
      <c r="E222" s="8" t="s">
        <v>12</v>
      </c>
      <c r="F222" s="8" t="s">
        <v>13</v>
      </c>
      <c r="G222" s="8">
        <v>4.0</v>
      </c>
      <c r="H222" s="8">
        <v>2.0</v>
      </c>
      <c r="I222" s="8" t="s">
        <v>14</v>
      </c>
      <c r="J222" s="8" t="s">
        <v>16</v>
      </c>
      <c r="K222" s="8" t="s">
        <v>18</v>
      </c>
      <c r="L222" s="8">
        <v>2.0</v>
      </c>
      <c r="M222" s="8" t="s">
        <v>267</v>
      </c>
    </row>
    <row r="223">
      <c r="A223" s="5">
        <v>46287.63118336805</v>
      </c>
      <c r="B223" s="8" t="s">
        <v>18</v>
      </c>
      <c r="C223" s="8">
        <v>1.0</v>
      </c>
      <c r="D223" s="8" t="s">
        <v>11</v>
      </c>
      <c r="E223" s="8" t="s">
        <v>12</v>
      </c>
      <c r="F223" s="8" t="s">
        <v>13</v>
      </c>
      <c r="G223" s="8">
        <v>4.0</v>
      </c>
      <c r="H223" s="8">
        <v>2.0</v>
      </c>
      <c r="I223" s="8" t="s">
        <v>14</v>
      </c>
      <c r="J223" s="8" t="s">
        <v>16</v>
      </c>
      <c r="K223" s="8" t="s">
        <v>18</v>
      </c>
      <c r="L223" s="8">
        <v>0.0</v>
      </c>
      <c r="M223" s="8" t="s">
        <v>225</v>
      </c>
    </row>
    <row r="224">
      <c r="A224" s="5">
        <v>46287.63118336805</v>
      </c>
      <c r="B224" s="8" t="s">
        <v>18</v>
      </c>
      <c r="C224" s="8">
        <v>1.0</v>
      </c>
      <c r="D224" s="8" t="s">
        <v>11</v>
      </c>
      <c r="E224" s="8" t="s">
        <v>12</v>
      </c>
      <c r="F224" s="8" t="s">
        <v>13</v>
      </c>
      <c r="G224" s="8">
        <v>4.0</v>
      </c>
      <c r="H224" s="8">
        <v>2.0</v>
      </c>
      <c r="I224" s="8" t="s">
        <v>14</v>
      </c>
      <c r="J224" s="8" t="s">
        <v>16</v>
      </c>
      <c r="K224" s="8" t="s">
        <v>18</v>
      </c>
      <c r="L224" s="8">
        <v>1.0</v>
      </c>
      <c r="M224" s="8" t="s">
        <v>225</v>
      </c>
    </row>
    <row r="225">
      <c r="A225" s="5">
        <v>46287.63118336805</v>
      </c>
      <c r="B225" s="8" t="s">
        <v>18</v>
      </c>
      <c r="C225" s="8">
        <v>1.0</v>
      </c>
      <c r="D225" s="8" t="s">
        <v>11</v>
      </c>
      <c r="E225" s="8" t="s">
        <v>12</v>
      </c>
      <c r="F225" s="8" t="s">
        <v>13</v>
      </c>
      <c r="G225" s="8">
        <v>4.0</v>
      </c>
      <c r="H225" s="8">
        <v>2.0</v>
      </c>
      <c r="I225" s="8" t="s">
        <v>14</v>
      </c>
      <c r="J225" s="8" t="s">
        <v>16</v>
      </c>
      <c r="K225" s="8" t="s">
        <v>18</v>
      </c>
      <c r="L225" s="8">
        <v>2.0</v>
      </c>
      <c r="M225" s="8" t="s">
        <v>268</v>
      </c>
    </row>
    <row r="226">
      <c r="A226" s="5">
        <v>46287.631469201384</v>
      </c>
      <c r="B226" s="8" t="s">
        <v>18</v>
      </c>
      <c r="C226" s="8">
        <v>1.0</v>
      </c>
      <c r="D226" s="8" t="s">
        <v>11</v>
      </c>
      <c r="E226" s="8" t="s">
        <v>12</v>
      </c>
      <c r="F226" s="8" t="s">
        <v>13</v>
      </c>
      <c r="G226" s="8">
        <v>4.0</v>
      </c>
      <c r="H226" s="8">
        <v>2.0</v>
      </c>
      <c r="I226" s="8" t="s">
        <v>14</v>
      </c>
      <c r="J226" s="8" t="s">
        <v>16</v>
      </c>
      <c r="K226" s="8" t="s">
        <v>18</v>
      </c>
      <c r="L226" s="8">
        <v>0.0</v>
      </c>
      <c r="M226" s="8" t="s">
        <v>225</v>
      </c>
    </row>
    <row r="227">
      <c r="A227" s="5">
        <v>46287.631469201384</v>
      </c>
      <c r="B227" s="8" t="s">
        <v>18</v>
      </c>
      <c r="C227" s="8">
        <v>1.0</v>
      </c>
      <c r="D227" s="8" t="s">
        <v>11</v>
      </c>
      <c r="E227" s="8" t="s">
        <v>12</v>
      </c>
      <c r="F227" s="8" t="s">
        <v>13</v>
      </c>
      <c r="G227" s="8">
        <v>4.0</v>
      </c>
      <c r="H227" s="8">
        <v>2.0</v>
      </c>
      <c r="I227" s="8" t="s">
        <v>14</v>
      </c>
      <c r="J227" s="8" t="s">
        <v>16</v>
      </c>
      <c r="K227" s="8" t="s">
        <v>18</v>
      </c>
      <c r="L227" s="8">
        <v>1.0</v>
      </c>
      <c r="M227" s="8" t="s">
        <v>225</v>
      </c>
    </row>
    <row r="228">
      <c r="A228" s="5">
        <v>46287.631469201384</v>
      </c>
      <c r="B228" s="8" t="s">
        <v>18</v>
      </c>
      <c r="C228" s="8">
        <v>1.0</v>
      </c>
      <c r="D228" s="8" t="s">
        <v>11</v>
      </c>
      <c r="E228" s="8" t="s">
        <v>12</v>
      </c>
      <c r="F228" s="8" t="s">
        <v>13</v>
      </c>
      <c r="G228" s="8">
        <v>4.0</v>
      </c>
      <c r="H228" s="8">
        <v>2.0</v>
      </c>
      <c r="I228" s="8" t="s">
        <v>14</v>
      </c>
      <c r="J228" s="8" t="s">
        <v>16</v>
      </c>
      <c r="K228" s="8" t="s">
        <v>18</v>
      </c>
      <c r="L228" s="8">
        <v>2.0</v>
      </c>
      <c r="M228" s="8" t="s">
        <v>225</v>
      </c>
    </row>
    <row r="229">
      <c r="A229" s="5">
        <v>46287.63155121528</v>
      </c>
      <c r="B229" s="8" t="s">
        <v>269</v>
      </c>
      <c r="C229" s="8">
        <v>1.0</v>
      </c>
      <c r="D229" s="8" t="s">
        <v>11</v>
      </c>
      <c r="E229" s="8" t="s">
        <v>12</v>
      </c>
      <c r="F229" s="8" t="s">
        <v>13</v>
      </c>
      <c r="G229" s="8">
        <v>4.0</v>
      </c>
      <c r="H229" s="8">
        <v>2.0</v>
      </c>
      <c r="I229" s="8" t="s">
        <v>14</v>
      </c>
      <c r="J229" s="8" t="s">
        <v>16</v>
      </c>
      <c r="K229" s="8" t="s">
        <v>18</v>
      </c>
      <c r="L229" s="8">
        <v>0.0</v>
      </c>
      <c r="M229" s="8" t="s">
        <v>270</v>
      </c>
    </row>
    <row r="230">
      <c r="A230" s="5">
        <v>46287.63155121528</v>
      </c>
      <c r="B230" s="8" t="s">
        <v>269</v>
      </c>
      <c r="C230" s="8">
        <v>1.0</v>
      </c>
      <c r="D230" s="8" t="s">
        <v>11</v>
      </c>
      <c r="E230" s="8" t="s">
        <v>12</v>
      </c>
      <c r="F230" s="8" t="s">
        <v>13</v>
      </c>
      <c r="G230" s="8">
        <v>4.0</v>
      </c>
      <c r="H230" s="8">
        <v>2.0</v>
      </c>
      <c r="I230" s="8" t="s">
        <v>14</v>
      </c>
      <c r="J230" s="8" t="s">
        <v>16</v>
      </c>
      <c r="K230" s="8" t="s">
        <v>18</v>
      </c>
      <c r="L230" s="8">
        <v>1.0</v>
      </c>
      <c r="M230" s="8" t="s">
        <v>225</v>
      </c>
    </row>
    <row r="231">
      <c r="A231" s="5">
        <v>46287.63155121528</v>
      </c>
      <c r="B231" s="8" t="s">
        <v>269</v>
      </c>
      <c r="C231" s="8">
        <v>1.0</v>
      </c>
      <c r="D231" s="8" t="s">
        <v>11</v>
      </c>
      <c r="E231" s="8" t="s">
        <v>12</v>
      </c>
      <c r="F231" s="8" t="s">
        <v>13</v>
      </c>
      <c r="G231" s="8">
        <v>4.0</v>
      </c>
      <c r="H231" s="8">
        <v>2.0</v>
      </c>
      <c r="I231" s="8" t="s">
        <v>14</v>
      </c>
      <c r="J231" s="8" t="s">
        <v>16</v>
      </c>
      <c r="K231" s="8" t="s">
        <v>18</v>
      </c>
      <c r="L231" s="8">
        <v>2.0</v>
      </c>
      <c r="M231" s="8" t="s">
        <v>225</v>
      </c>
    </row>
    <row r="232">
      <c r="A232" s="5">
        <v>46287.63167618055</v>
      </c>
      <c r="B232" s="8" t="s">
        <v>271</v>
      </c>
      <c r="C232" s="8">
        <v>1.0</v>
      </c>
      <c r="D232" s="8" t="s">
        <v>11</v>
      </c>
      <c r="E232" s="8" t="s">
        <v>12</v>
      </c>
      <c r="F232" s="8" t="s">
        <v>13</v>
      </c>
      <c r="G232" s="8">
        <v>4.0</v>
      </c>
      <c r="H232" s="8">
        <v>2.0</v>
      </c>
      <c r="I232" s="8" t="s">
        <v>14</v>
      </c>
      <c r="J232" s="8" t="s">
        <v>16</v>
      </c>
      <c r="K232" s="8" t="s">
        <v>18</v>
      </c>
      <c r="L232" s="8">
        <v>0.0</v>
      </c>
      <c r="M232" s="8" t="s">
        <v>272</v>
      </c>
    </row>
    <row r="233">
      <c r="A233" s="5">
        <v>46287.63167618055</v>
      </c>
      <c r="B233" s="8" t="s">
        <v>271</v>
      </c>
      <c r="C233" s="8">
        <v>1.0</v>
      </c>
      <c r="D233" s="8" t="s">
        <v>11</v>
      </c>
      <c r="E233" s="8" t="s">
        <v>12</v>
      </c>
      <c r="F233" s="8" t="s">
        <v>13</v>
      </c>
      <c r="G233" s="8">
        <v>4.0</v>
      </c>
      <c r="H233" s="8">
        <v>2.0</v>
      </c>
      <c r="I233" s="8" t="s">
        <v>14</v>
      </c>
      <c r="J233" s="8" t="s">
        <v>16</v>
      </c>
      <c r="K233" s="8" t="s">
        <v>18</v>
      </c>
      <c r="L233" s="8">
        <v>1.0</v>
      </c>
      <c r="M233" s="8" t="s">
        <v>273</v>
      </c>
    </row>
    <row r="234">
      <c r="A234" s="5">
        <v>46287.63167618055</v>
      </c>
      <c r="B234" s="8" t="s">
        <v>271</v>
      </c>
      <c r="C234" s="8">
        <v>1.0</v>
      </c>
      <c r="D234" s="8" t="s">
        <v>11</v>
      </c>
      <c r="E234" s="8" t="s">
        <v>12</v>
      </c>
      <c r="F234" s="8" t="s">
        <v>13</v>
      </c>
      <c r="G234" s="8">
        <v>4.0</v>
      </c>
      <c r="H234" s="8">
        <v>2.0</v>
      </c>
      <c r="I234" s="8" t="s">
        <v>14</v>
      </c>
      <c r="J234" s="8" t="s">
        <v>16</v>
      </c>
      <c r="K234" s="8" t="s">
        <v>18</v>
      </c>
      <c r="L234" s="8">
        <v>2.0</v>
      </c>
      <c r="M234" s="8" t="s">
        <v>274</v>
      </c>
    </row>
    <row r="235">
      <c r="A235" s="5">
        <v>46287.63169033565</v>
      </c>
      <c r="B235" s="8" t="s">
        <v>93</v>
      </c>
      <c r="C235" s="8">
        <v>1.0</v>
      </c>
      <c r="D235" s="8" t="s">
        <v>11</v>
      </c>
      <c r="E235" s="8" t="s">
        <v>12</v>
      </c>
      <c r="F235" s="8" t="s">
        <v>13</v>
      </c>
      <c r="G235" s="8">
        <v>4.0</v>
      </c>
      <c r="H235" s="8">
        <v>2.0</v>
      </c>
      <c r="I235" s="8" t="s">
        <v>14</v>
      </c>
      <c r="J235" s="8" t="s">
        <v>16</v>
      </c>
      <c r="K235" s="8" t="s">
        <v>18</v>
      </c>
      <c r="L235" s="8">
        <v>0.0</v>
      </c>
      <c r="M235" s="8" t="s">
        <v>225</v>
      </c>
    </row>
    <row r="236">
      <c r="A236" s="5">
        <v>46287.63169033565</v>
      </c>
      <c r="B236" s="8" t="s">
        <v>93</v>
      </c>
      <c r="C236" s="8">
        <v>1.0</v>
      </c>
      <c r="D236" s="8" t="s">
        <v>11</v>
      </c>
      <c r="E236" s="8" t="s">
        <v>12</v>
      </c>
      <c r="F236" s="8" t="s">
        <v>13</v>
      </c>
      <c r="G236" s="8">
        <v>4.0</v>
      </c>
      <c r="H236" s="8">
        <v>2.0</v>
      </c>
      <c r="I236" s="8" t="s">
        <v>14</v>
      </c>
      <c r="J236" s="8" t="s">
        <v>16</v>
      </c>
      <c r="K236" s="8" t="s">
        <v>18</v>
      </c>
      <c r="L236" s="8">
        <v>1.0</v>
      </c>
      <c r="M236" s="8" t="s">
        <v>225</v>
      </c>
    </row>
    <row r="237">
      <c r="A237" s="5">
        <v>46287.63169033565</v>
      </c>
      <c r="B237" s="8" t="s">
        <v>93</v>
      </c>
      <c r="C237" s="8">
        <v>1.0</v>
      </c>
      <c r="D237" s="8" t="s">
        <v>11</v>
      </c>
      <c r="E237" s="8" t="s">
        <v>12</v>
      </c>
      <c r="F237" s="8" t="s">
        <v>13</v>
      </c>
      <c r="G237" s="8">
        <v>4.0</v>
      </c>
      <c r="H237" s="8">
        <v>2.0</v>
      </c>
      <c r="I237" s="8" t="s">
        <v>14</v>
      </c>
      <c r="J237" s="8" t="s">
        <v>16</v>
      </c>
      <c r="K237" s="8" t="s">
        <v>18</v>
      </c>
      <c r="L237" s="8">
        <v>2.0</v>
      </c>
      <c r="M237" s="8" t="s">
        <v>268</v>
      </c>
    </row>
    <row r="238">
      <c r="A238" s="5">
        <v>46287.631878182874</v>
      </c>
      <c r="B238" s="8" t="s">
        <v>275</v>
      </c>
      <c r="C238" s="8">
        <v>1.0</v>
      </c>
      <c r="D238" s="8" t="s">
        <v>11</v>
      </c>
      <c r="E238" s="8" t="s">
        <v>12</v>
      </c>
      <c r="F238" s="8" t="s">
        <v>13</v>
      </c>
      <c r="G238" s="8">
        <v>4.0</v>
      </c>
      <c r="H238" s="8">
        <v>2.0</v>
      </c>
      <c r="I238" s="8" t="s">
        <v>14</v>
      </c>
      <c r="J238" s="8" t="s">
        <v>16</v>
      </c>
      <c r="K238" s="8" t="s">
        <v>18</v>
      </c>
      <c r="L238" s="8">
        <v>0.0</v>
      </c>
      <c r="M238" s="8" t="s">
        <v>225</v>
      </c>
    </row>
    <row r="239">
      <c r="A239" s="5">
        <v>46287.631878182874</v>
      </c>
      <c r="B239" s="8" t="s">
        <v>275</v>
      </c>
      <c r="C239" s="8">
        <v>1.0</v>
      </c>
      <c r="D239" s="8" t="s">
        <v>11</v>
      </c>
      <c r="E239" s="8" t="s">
        <v>12</v>
      </c>
      <c r="F239" s="8" t="s">
        <v>13</v>
      </c>
      <c r="G239" s="8">
        <v>4.0</v>
      </c>
      <c r="H239" s="8">
        <v>2.0</v>
      </c>
      <c r="I239" s="8" t="s">
        <v>14</v>
      </c>
      <c r="J239" s="8" t="s">
        <v>16</v>
      </c>
      <c r="K239" s="8" t="s">
        <v>18</v>
      </c>
      <c r="L239" s="8">
        <v>1.0</v>
      </c>
      <c r="M239" s="8" t="s">
        <v>225</v>
      </c>
    </row>
    <row r="240">
      <c r="A240" s="5">
        <v>46287.631878182874</v>
      </c>
      <c r="B240" s="8" t="s">
        <v>275</v>
      </c>
      <c r="C240" s="8">
        <v>1.0</v>
      </c>
      <c r="D240" s="8" t="s">
        <v>11</v>
      </c>
      <c r="E240" s="8" t="s">
        <v>12</v>
      </c>
      <c r="F240" s="8" t="s">
        <v>13</v>
      </c>
      <c r="G240" s="8">
        <v>4.0</v>
      </c>
      <c r="H240" s="8">
        <v>2.0</v>
      </c>
      <c r="I240" s="8" t="s">
        <v>14</v>
      </c>
      <c r="J240" s="8" t="s">
        <v>16</v>
      </c>
      <c r="K240" s="8" t="s">
        <v>18</v>
      </c>
      <c r="L240" s="8">
        <v>2.0</v>
      </c>
      <c r="M240" s="8" t="s">
        <v>225</v>
      </c>
    </row>
    <row r="241">
      <c r="A241" s="5">
        <v>46287.6320087037</v>
      </c>
      <c r="B241" s="8" t="s">
        <v>276</v>
      </c>
      <c r="C241" s="8">
        <v>1.0</v>
      </c>
      <c r="D241" s="8" t="s">
        <v>11</v>
      </c>
      <c r="E241" s="8" t="s">
        <v>12</v>
      </c>
      <c r="F241" s="8" t="s">
        <v>13</v>
      </c>
      <c r="G241" s="8">
        <v>4.0</v>
      </c>
      <c r="H241" s="8">
        <v>2.0</v>
      </c>
      <c r="I241" s="8" t="s">
        <v>14</v>
      </c>
      <c r="J241" s="8" t="s">
        <v>16</v>
      </c>
      <c r="K241" s="8" t="s">
        <v>18</v>
      </c>
      <c r="L241" s="8">
        <v>0.0</v>
      </c>
      <c r="M241" s="8" t="s">
        <v>277</v>
      </c>
    </row>
    <row r="242">
      <c r="A242" s="5">
        <v>46287.6320087037</v>
      </c>
      <c r="B242" s="8" t="s">
        <v>276</v>
      </c>
      <c r="C242" s="8">
        <v>1.0</v>
      </c>
      <c r="D242" s="8" t="s">
        <v>11</v>
      </c>
      <c r="E242" s="8" t="s">
        <v>12</v>
      </c>
      <c r="F242" s="8" t="s">
        <v>13</v>
      </c>
      <c r="G242" s="8">
        <v>4.0</v>
      </c>
      <c r="H242" s="8">
        <v>2.0</v>
      </c>
      <c r="I242" s="8" t="s">
        <v>14</v>
      </c>
      <c r="J242" s="8" t="s">
        <v>16</v>
      </c>
      <c r="K242" s="8" t="s">
        <v>18</v>
      </c>
      <c r="L242" s="8">
        <v>1.0</v>
      </c>
      <c r="M242" s="8" t="s">
        <v>225</v>
      </c>
    </row>
    <row r="243">
      <c r="A243" s="5">
        <v>46287.63201804398</v>
      </c>
      <c r="B243" s="8" t="s">
        <v>127</v>
      </c>
      <c r="C243" s="8">
        <v>1.0</v>
      </c>
      <c r="D243" s="8" t="s">
        <v>11</v>
      </c>
      <c r="E243" s="8" t="s">
        <v>12</v>
      </c>
      <c r="F243" s="8" t="s">
        <v>13</v>
      </c>
      <c r="G243" s="8">
        <v>4.0</v>
      </c>
      <c r="H243" s="8">
        <v>2.0</v>
      </c>
      <c r="I243" s="8" t="s">
        <v>14</v>
      </c>
      <c r="J243" s="8" t="s">
        <v>16</v>
      </c>
      <c r="K243" s="8" t="s">
        <v>18</v>
      </c>
      <c r="L243" s="8">
        <v>0.0</v>
      </c>
      <c r="M243" s="8" t="s">
        <v>225</v>
      </c>
    </row>
    <row r="244">
      <c r="A244" s="5">
        <v>46287.63201804398</v>
      </c>
      <c r="B244" s="8" t="s">
        <v>127</v>
      </c>
      <c r="C244" s="8">
        <v>1.0</v>
      </c>
      <c r="D244" s="8" t="s">
        <v>11</v>
      </c>
      <c r="E244" s="8" t="s">
        <v>12</v>
      </c>
      <c r="F244" s="8" t="s">
        <v>13</v>
      </c>
      <c r="G244" s="8">
        <v>4.0</v>
      </c>
      <c r="H244" s="8">
        <v>2.0</v>
      </c>
      <c r="I244" s="8" t="s">
        <v>14</v>
      </c>
      <c r="J244" s="8" t="s">
        <v>16</v>
      </c>
      <c r="K244" s="8" t="s">
        <v>18</v>
      </c>
      <c r="L244" s="8">
        <v>1.0</v>
      </c>
      <c r="M244" s="8" t="s">
        <v>225</v>
      </c>
    </row>
    <row r="245">
      <c r="A245" s="5">
        <v>46287.6320087037</v>
      </c>
      <c r="B245" s="8" t="s">
        <v>276</v>
      </c>
      <c r="C245" s="8">
        <v>1.0</v>
      </c>
      <c r="D245" s="8" t="s">
        <v>11</v>
      </c>
      <c r="E245" s="8" t="s">
        <v>12</v>
      </c>
      <c r="F245" s="8" t="s">
        <v>13</v>
      </c>
      <c r="G245" s="8">
        <v>4.0</v>
      </c>
      <c r="H245" s="8">
        <v>2.0</v>
      </c>
      <c r="I245" s="8" t="s">
        <v>14</v>
      </c>
      <c r="J245" s="8" t="s">
        <v>16</v>
      </c>
      <c r="K245" s="8" t="s">
        <v>18</v>
      </c>
      <c r="L245" s="8">
        <v>2.0</v>
      </c>
      <c r="M245" s="8" t="s">
        <v>225</v>
      </c>
    </row>
    <row r="246">
      <c r="A246" s="5">
        <v>46287.632314884264</v>
      </c>
      <c r="B246" s="8" t="s">
        <v>269</v>
      </c>
      <c r="C246" s="8">
        <v>1.0</v>
      </c>
      <c r="D246" s="8" t="s">
        <v>11</v>
      </c>
      <c r="E246" s="8" t="s">
        <v>12</v>
      </c>
      <c r="F246" s="8" t="s">
        <v>13</v>
      </c>
      <c r="G246" s="8">
        <v>4.0</v>
      </c>
      <c r="H246" s="8">
        <v>2.0</v>
      </c>
      <c r="I246" s="8" t="s">
        <v>14</v>
      </c>
      <c r="J246" s="8" t="s">
        <v>16</v>
      </c>
      <c r="K246" s="8" t="s">
        <v>18</v>
      </c>
      <c r="L246" s="8">
        <v>0.0</v>
      </c>
      <c r="M246" s="8" t="s">
        <v>225</v>
      </c>
    </row>
    <row r="247">
      <c r="A247" s="5">
        <v>46287.632314884264</v>
      </c>
      <c r="B247" s="8" t="s">
        <v>269</v>
      </c>
      <c r="C247" s="8">
        <v>1.0</v>
      </c>
      <c r="D247" s="8" t="s">
        <v>11</v>
      </c>
      <c r="E247" s="8" t="s">
        <v>12</v>
      </c>
      <c r="F247" s="8" t="s">
        <v>13</v>
      </c>
      <c r="G247" s="8">
        <v>4.0</v>
      </c>
      <c r="H247" s="8">
        <v>2.0</v>
      </c>
      <c r="I247" s="8" t="s">
        <v>14</v>
      </c>
      <c r="J247" s="8" t="s">
        <v>16</v>
      </c>
      <c r="K247" s="8" t="s">
        <v>18</v>
      </c>
      <c r="L247" s="8">
        <v>1.0</v>
      </c>
      <c r="M247" s="8" t="s">
        <v>278</v>
      </c>
    </row>
    <row r="248">
      <c r="A248" s="5">
        <v>46287.632314884264</v>
      </c>
      <c r="B248" s="8" t="s">
        <v>269</v>
      </c>
      <c r="C248" s="8">
        <v>1.0</v>
      </c>
      <c r="D248" s="8" t="s">
        <v>11</v>
      </c>
      <c r="E248" s="8" t="s">
        <v>12</v>
      </c>
      <c r="F248" s="8" t="s">
        <v>13</v>
      </c>
      <c r="G248" s="8">
        <v>4.0</v>
      </c>
      <c r="H248" s="8">
        <v>2.0</v>
      </c>
      <c r="I248" s="8" t="s">
        <v>14</v>
      </c>
      <c r="J248" s="8" t="s">
        <v>16</v>
      </c>
      <c r="K248" s="8" t="s">
        <v>18</v>
      </c>
      <c r="L248" s="8">
        <v>2.0</v>
      </c>
      <c r="M248" s="8" t="s">
        <v>225</v>
      </c>
    </row>
    <row r="249">
      <c r="A249" s="5">
        <v>46287.632403483796</v>
      </c>
      <c r="B249" s="8" t="s">
        <v>269</v>
      </c>
      <c r="C249" s="8">
        <v>1.0</v>
      </c>
      <c r="D249" s="8" t="s">
        <v>11</v>
      </c>
      <c r="E249" s="8" t="s">
        <v>12</v>
      </c>
      <c r="F249" s="8" t="s">
        <v>13</v>
      </c>
      <c r="G249" s="8">
        <v>4.0</v>
      </c>
      <c r="H249" s="8">
        <v>2.0</v>
      </c>
      <c r="I249" s="8" t="s">
        <v>14</v>
      </c>
      <c r="J249" s="8" t="s">
        <v>16</v>
      </c>
      <c r="K249" s="8" t="s">
        <v>18</v>
      </c>
      <c r="L249" s="8">
        <v>0.0</v>
      </c>
      <c r="M249" s="8" t="s">
        <v>225</v>
      </c>
    </row>
    <row r="250">
      <c r="A250" s="5">
        <v>46287.632403483796</v>
      </c>
      <c r="B250" s="8" t="s">
        <v>269</v>
      </c>
      <c r="C250" s="8">
        <v>1.0</v>
      </c>
      <c r="D250" s="8" t="s">
        <v>11</v>
      </c>
      <c r="E250" s="8" t="s">
        <v>12</v>
      </c>
      <c r="F250" s="8" t="s">
        <v>13</v>
      </c>
      <c r="G250" s="8">
        <v>4.0</v>
      </c>
      <c r="H250" s="8">
        <v>2.0</v>
      </c>
      <c r="I250" s="8" t="s">
        <v>14</v>
      </c>
      <c r="J250" s="8" t="s">
        <v>16</v>
      </c>
      <c r="K250" s="8" t="s">
        <v>18</v>
      </c>
      <c r="L250" s="8">
        <v>1.0</v>
      </c>
      <c r="M250" s="8" t="s">
        <v>279</v>
      </c>
    </row>
    <row r="251">
      <c r="A251" s="5">
        <v>46287.632403483796</v>
      </c>
      <c r="B251" s="8" t="s">
        <v>269</v>
      </c>
      <c r="C251" s="8">
        <v>1.0</v>
      </c>
      <c r="D251" s="8" t="s">
        <v>11</v>
      </c>
      <c r="E251" s="8" t="s">
        <v>12</v>
      </c>
      <c r="F251" s="8" t="s">
        <v>13</v>
      </c>
      <c r="G251" s="8">
        <v>4.0</v>
      </c>
      <c r="H251" s="8">
        <v>2.0</v>
      </c>
      <c r="I251" s="8" t="s">
        <v>14</v>
      </c>
      <c r="J251" s="8" t="s">
        <v>16</v>
      </c>
      <c r="K251" s="8" t="s">
        <v>18</v>
      </c>
      <c r="L251" s="8">
        <v>2.0</v>
      </c>
      <c r="M251" s="8" t="s">
        <v>225</v>
      </c>
    </row>
    <row r="252">
      <c r="A252" s="5">
        <v>46287.632438726854</v>
      </c>
      <c r="B252" s="8" t="s">
        <v>280</v>
      </c>
      <c r="C252" s="8">
        <v>1.0</v>
      </c>
      <c r="D252" s="8" t="s">
        <v>11</v>
      </c>
      <c r="E252" s="8" t="s">
        <v>12</v>
      </c>
      <c r="F252" s="8" t="s">
        <v>13</v>
      </c>
      <c r="G252" s="8">
        <v>4.0</v>
      </c>
      <c r="H252" s="8">
        <v>2.0</v>
      </c>
      <c r="I252" s="8" t="s">
        <v>14</v>
      </c>
      <c r="J252" s="8" t="s">
        <v>16</v>
      </c>
      <c r="K252" s="8" t="s">
        <v>18</v>
      </c>
      <c r="L252" s="8">
        <v>0.0</v>
      </c>
      <c r="M252" s="8" t="s">
        <v>225</v>
      </c>
    </row>
    <row r="253">
      <c r="A253" s="5">
        <v>46287.632438726854</v>
      </c>
      <c r="B253" s="8" t="s">
        <v>280</v>
      </c>
      <c r="C253" s="8">
        <v>1.0</v>
      </c>
      <c r="D253" s="8" t="s">
        <v>11</v>
      </c>
      <c r="E253" s="8" t="s">
        <v>12</v>
      </c>
      <c r="F253" s="8" t="s">
        <v>13</v>
      </c>
      <c r="G253" s="8">
        <v>4.0</v>
      </c>
      <c r="H253" s="8">
        <v>2.0</v>
      </c>
      <c r="I253" s="8" t="s">
        <v>14</v>
      </c>
      <c r="J253" s="8" t="s">
        <v>16</v>
      </c>
      <c r="K253" s="8" t="s">
        <v>18</v>
      </c>
      <c r="L253" s="8">
        <v>1.0</v>
      </c>
      <c r="M253" s="8" t="s">
        <v>225</v>
      </c>
    </row>
    <row r="254">
      <c r="A254" s="5">
        <v>46287.632438726854</v>
      </c>
      <c r="B254" s="8" t="s">
        <v>280</v>
      </c>
      <c r="C254" s="8">
        <v>1.0</v>
      </c>
      <c r="D254" s="8" t="s">
        <v>11</v>
      </c>
      <c r="E254" s="8" t="s">
        <v>12</v>
      </c>
      <c r="F254" s="8" t="s">
        <v>13</v>
      </c>
      <c r="G254" s="8">
        <v>4.0</v>
      </c>
      <c r="H254" s="8">
        <v>2.0</v>
      </c>
      <c r="I254" s="8" t="s">
        <v>14</v>
      </c>
      <c r="J254" s="8" t="s">
        <v>16</v>
      </c>
      <c r="K254" s="8" t="s">
        <v>18</v>
      </c>
      <c r="L254" s="8">
        <v>2.0</v>
      </c>
      <c r="M254" s="8" t="s">
        <v>225</v>
      </c>
    </row>
    <row r="255">
      <c r="A255" s="5">
        <v>46287.63250314815</v>
      </c>
      <c r="B255" s="8" t="s">
        <v>171</v>
      </c>
      <c r="C255" s="8">
        <v>1.0</v>
      </c>
      <c r="D255" s="8" t="s">
        <v>11</v>
      </c>
      <c r="E255" s="8" t="s">
        <v>12</v>
      </c>
      <c r="F255" s="8" t="s">
        <v>13</v>
      </c>
      <c r="G255" s="8">
        <v>4.0</v>
      </c>
      <c r="H255" s="8">
        <v>2.0</v>
      </c>
      <c r="I255" s="8" t="s">
        <v>14</v>
      </c>
      <c r="J255" s="8" t="s">
        <v>16</v>
      </c>
      <c r="K255" s="8" t="s">
        <v>18</v>
      </c>
      <c r="L255" s="8">
        <v>0.0</v>
      </c>
      <c r="M255" s="8" t="s">
        <v>281</v>
      </c>
    </row>
    <row r="256">
      <c r="A256" s="5">
        <v>46287.63250535879</v>
      </c>
      <c r="B256" s="8" t="s">
        <v>88</v>
      </c>
      <c r="C256" s="8">
        <v>1.0</v>
      </c>
      <c r="D256" s="8" t="s">
        <v>11</v>
      </c>
      <c r="E256" s="8" t="s">
        <v>12</v>
      </c>
      <c r="F256" s="8" t="s">
        <v>13</v>
      </c>
      <c r="G256" s="8">
        <v>4.0</v>
      </c>
      <c r="H256" s="8">
        <v>2.0</v>
      </c>
      <c r="I256" s="8" t="s">
        <v>14</v>
      </c>
      <c r="J256" s="8" t="s">
        <v>16</v>
      </c>
      <c r="K256" s="8" t="s">
        <v>18</v>
      </c>
      <c r="L256" s="8">
        <v>0.0</v>
      </c>
      <c r="M256" s="8" t="s">
        <v>282</v>
      </c>
    </row>
    <row r="257">
      <c r="A257" s="5">
        <v>46287.63250535879</v>
      </c>
      <c r="B257" s="8" t="s">
        <v>88</v>
      </c>
      <c r="C257" s="8">
        <v>1.0</v>
      </c>
      <c r="D257" s="8" t="s">
        <v>11</v>
      </c>
      <c r="E257" s="8" t="s">
        <v>12</v>
      </c>
      <c r="F257" s="8" t="s">
        <v>13</v>
      </c>
      <c r="G257" s="8">
        <v>4.0</v>
      </c>
      <c r="H257" s="8">
        <v>2.0</v>
      </c>
      <c r="I257" s="8" t="s">
        <v>14</v>
      </c>
      <c r="J257" s="8" t="s">
        <v>16</v>
      </c>
      <c r="K257" s="8" t="s">
        <v>18</v>
      </c>
      <c r="L257" s="8">
        <v>1.0</v>
      </c>
      <c r="M257" s="8" t="s">
        <v>283</v>
      </c>
    </row>
    <row r="258">
      <c r="A258" s="5">
        <v>46287.63250314815</v>
      </c>
      <c r="B258" s="8" t="s">
        <v>171</v>
      </c>
      <c r="C258" s="8">
        <v>1.0</v>
      </c>
      <c r="D258" s="8" t="s">
        <v>11</v>
      </c>
      <c r="E258" s="8" t="s">
        <v>12</v>
      </c>
      <c r="F258" s="8" t="s">
        <v>13</v>
      </c>
      <c r="G258" s="8">
        <v>4.0</v>
      </c>
      <c r="H258" s="8">
        <v>2.0</v>
      </c>
      <c r="I258" s="8" t="s">
        <v>14</v>
      </c>
      <c r="J258" s="8" t="s">
        <v>16</v>
      </c>
      <c r="K258" s="8" t="s">
        <v>18</v>
      </c>
      <c r="L258" s="8">
        <v>1.0</v>
      </c>
      <c r="M258" s="8" t="s">
        <v>225</v>
      </c>
    </row>
    <row r="259">
      <c r="A259" s="5">
        <v>46287.63250535879</v>
      </c>
      <c r="B259" s="8" t="s">
        <v>88</v>
      </c>
      <c r="C259" s="8">
        <v>1.0</v>
      </c>
      <c r="D259" s="8" t="s">
        <v>11</v>
      </c>
      <c r="E259" s="8" t="s">
        <v>12</v>
      </c>
      <c r="F259" s="8" t="s">
        <v>13</v>
      </c>
      <c r="G259" s="8">
        <v>4.0</v>
      </c>
      <c r="H259" s="8">
        <v>2.0</v>
      </c>
      <c r="I259" s="8" t="s">
        <v>14</v>
      </c>
      <c r="J259" s="8" t="s">
        <v>16</v>
      </c>
      <c r="K259" s="8" t="s">
        <v>18</v>
      </c>
      <c r="L259" s="8">
        <v>2.0</v>
      </c>
      <c r="M259" s="8" t="s">
        <v>284</v>
      </c>
    </row>
    <row r="260">
      <c r="A260" s="5">
        <v>46287.63250314815</v>
      </c>
      <c r="B260" s="8" t="s">
        <v>171</v>
      </c>
      <c r="C260" s="8">
        <v>1.0</v>
      </c>
      <c r="D260" s="8" t="s">
        <v>11</v>
      </c>
      <c r="E260" s="8" t="s">
        <v>12</v>
      </c>
      <c r="F260" s="8" t="s">
        <v>13</v>
      </c>
      <c r="G260" s="8">
        <v>4.0</v>
      </c>
      <c r="H260" s="8">
        <v>2.0</v>
      </c>
      <c r="I260" s="8" t="s">
        <v>14</v>
      </c>
      <c r="J260" s="8" t="s">
        <v>16</v>
      </c>
      <c r="K260" s="8" t="s">
        <v>18</v>
      </c>
      <c r="L260" s="8">
        <v>2.0</v>
      </c>
      <c r="M260" s="8" t="s">
        <v>225</v>
      </c>
    </row>
    <row r="261">
      <c r="A261" s="5">
        <v>46287.63255995371</v>
      </c>
      <c r="B261" s="8" t="s">
        <v>49</v>
      </c>
      <c r="C261" s="8">
        <v>1.0</v>
      </c>
      <c r="D261" s="8" t="s">
        <v>11</v>
      </c>
      <c r="E261" s="8" t="s">
        <v>12</v>
      </c>
      <c r="F261" s="8" t="s">
        <v>13</v>
      </c>
      <c r="G261" s="8">
        <v>4.0</v>
      </c>
      <c r="H261" s="8">
        <v>2.0</v>
      </c>
      <c r="I261" s="8" t="s">
        <v>14</v>
      </c>
      <c r="J261" s="8" t="s">
        <v>16</v>
      </c>
      <c r="K261" s="8" t="s">
        <v>18</v>
      </c>
      <c r="L261" s="8">
        <v>0.0</v>
      </c>
      <c r="M261" s="8" t="s">
        <v>225</v>
      </c>
    </row>
    <row r="262">
      <c r="A262" s="5">
        <v>46287.63255995371</v>
      </c>
      <c r="B262" s="8" t="s">
        <v>49</v>
      </c>
      <c r="C262" s="8">
        <v>1.0</v>
      </c>
      <c r="D262" s="8" t="s">
        <v>11</v>
      </c>
      <c r="E262" s="8" t="s">
        <v>12</v>
      </c>
      <c r="F262" s="8" t="s">
        <v>13</v>
      </c>
      <c r="G262" s="8">
        <v>4.0</v>
      </c>
      <c r="H262" s="8">
        <v>2.0</v>
      </c>
      <c r="I262" s="8" t="s">
        <v>14</v>
      </c>
      <c r="J262" s="8" t="s">
        <v>16</v>
      </c>
      <c r="K262" s="8" t="s">
        <v>18</v>
      </c>
      <c r="L262" s="8">
        <v>1.0</v>
      </c>
      <c r="M262" s="8" t="s">
        <v>285</v>
      </c>
    </row>
    <row r="263">
      <c r="A263" s="5">
        <v>46287.63255995371</v>
      </c>
      <c r="B263" s="8" t="s">
        <v>49</v>
      </c>
      <c r="C263" s="8">
        <v>1.0</v>
      </c>
      <c r="D263" s="8" t="s">
        <v>11</v>
      </c>
      <c r="E263" s="8" t="s">
        <v>12</v>
      </c>
      <c r="F263" s="8" t="s">
        <v>13</v>
      </c>
      <c r="G263" s="8">
        <v>4.0</v>
      </c>
      <c r="H263" s="8">
        <v>2.0</v>
      </c>
      <c r="I263" s="8" t="s">
        <v>14</v>
      </c>
      <c r="J263" s="8" t="s">
        <v>16</v>
      </c>
      <c r="K263" s="8" t="s">
        <v>18</v>
      </c>
      <c r="L263" s="8">
        <v>2.0</v>
      </c>
      <c r="M263" s="8" t="s">
        <v>225</v>
      </c>
    </row>
    <row r="264">
      <c r="A264" s="5">
        <v>46287.632620833334</v>
      </c>
      <c r="B264" s="8" t="s">
        <v>286</v>
      </c>
      <c r="C264" s="8">
        <v>1.0</v>
      </c>
      <c r="D264" s="8" t="s">
        <v>11</v>
      </c>
      <c r="E264" s="8" t="s">
        <v>12</v>
      </c>
      <c r="F264" s="8" t="s">
        <v>13</v>
      </c>
      <c r="G264" s="8">
        <v>4.0</v>
      </c>
      <c r="H264" s="8">
        <v>2.0</v>
      </c>
      <c r="I264" s="8" t="s">
        <v>14</v>
      </c>
      <c r="J264" s="8" t="s">
        <v>16</v>
      </c>
      <c r="K264" s="8" t="s">
        <v>18</v>
      </c>
      <c r="L264" s="8">
        <v>0.0</v>
      </c>
      <c r="M264" s="8" t="s">
        <v>225</v>
      </c>
    </row>
    <row r="265">
      <c r="A265" s="5">
        <v>46287.632620833334</v>
      </c>
      <c r="B265" s="8" t="s">
        <v>286</v>
      </c>
      <c r="C265" s="8">
        <v>1.0</v>
      </c>
      <c r="D265" s="8" t="s">
        <v>11</v>
      </c>
      <c r="E265" s="8" t="s">
        <v>12</v>
      </c>
      <c r="F265" s="8" t="s">
        <v>13</v>
      </c>
      <c r="G265" s="8">
        <v>4.0</v>
      </c>
      <c r="H265" s="8">
        <v>2.0</v>
      </c>
      <c r="I265" s="8" t="s">
        <v>14</v>
      </c>
      <c r="J265" s="8" t="s">
        <v>16</v>
      </c>
      <c r="K265" s="8" t="s">
        <v>18</v>
      </c>
      <c r="L265" s="8">
        <v>1.0</v>
      </c>
      <c r="M265" s="8" t="s">
        <v>225</v>
      </c>
    </row>
    <row r="266">
      <c r="A266" s="5">
        <v>46287.632620833334</v>
      </c>
      <c r="B266" s="8" t="s">
        <v>286</v>
      </c>
      <c r="C266" s="8">
        <v>1.0</v>
      </c>
      <c r="D266" s="8" t="s">
        <v>11</v>
      </c>
      <c r="E266" s="8" t="s">
        <v>12</v>
      </c>
      <c r="F266" s="8" t="s">
        <v>13</v>
      </c>
      <c r="G266" s="8">
        <v>4.0</v>
      </c>
      <c r="H266" s="8">
        <v>2.0</v>
      </c>
      <c r="I266" s="8" t="s">
        <v>14</v>
      </c>
      <c r="J266" s="8" t="s">
        <v>16</v>
      </c>
      <c r="K266" s="8" t="s">
        <v>18</v>
      </c>
      <c r="L266" s="8">
        <v>2.0</v>
      </c>
      <c r="M266" s="8" t="s">
        <v>287</v>
      </c>
    </row>
    <row r="267">
      <c r="A267" s="5">
        <v>46287.63262824074</v>
      </c>
      <c r="B267" s="8" t="s">
        <v>7</v>
      </c>
      <c r="C267" s="8">
        <v>1.0</v>
      </c>
      <c r="D267" s="8" t="s">
        <v>11</v>
      </c>
      <c r="E267" s="8" t="s">
        <v>12</v>
      </c>
      <c r="F267" s="8" t="s">
        <v>13</v>
      </c>
      <c r="G267" s="8">
        <v>4.0</v>
      </c>
      <c r="H267" s="8">
        <v>2.0</v>
      </c>
      <c r="I267" s="8" t="s">
        <v>14</v>
      </c>
      <c r="J267" s="8" t="s">
        <v>16</v>
      </c>
      <c r="K267" s="8" t="s">
        <v>18</v>
      </c>
      <c r="L267" s="8">
        <v>0.0</v>
      </c>
      <c r="M267" s="8" t="s">
        <v>288</v>
      </c>
    </row>
    <row r="268">
      <c r="A268" s="5">
        <v>46287.63262824074</v>
      </c>
      <c r="B268" s="8" t="s">
        <v>7</v>
      </c>
      <c r="C268" s="8">
        <v>1.0</v>
      </c>
      <c r="D268" s="8" t="s">
        <v>11</v>
      </c>
      <c r="E268" s="8" t="s">
        <v>12</v>
      </c>
      <c r="F268" s="8" t="s">
        <v>13</v>
      </c>
      <c r="G268" s="8">
        <v>4.0</v>
      </c>
      <c r="H268" s="8">
        <v>2.0</v>
      </c>
      <c r="I268" s="8" t="s">
        <v>14</v>
      </c>
      <c r="J268" s="8" t="s">
        <v>16</v>
      </c>
      <c r="K268" s="8" t="s">
        <v>18</v>
      </c>
      <c r="L268" s="8">
        <v>1.0</v>
      </c>
      <c r="M268" s="8" t="s">
        <v>289</v>
      </c>
    </row>
    <row r="269">
      <c r="A269" s="5">
        <v>46287.63262824074</v>
      </c>
      <c r="B269" s="8" t="s">
        <v>7</v>
      </c>
      <c r="C269" s="8">
        <v>1.0</v>
      </c>
      <c r="D269" s="8" t="s">
        <v>11</v>
      </c>
      <c r="E269" s="8" t="s">
        <v>12</v>
      </c>
      <c r="F269" s="8" t="s">
        <v>13</v>
      </c>
      <c r="G269" s="8">
        <v>4.0</v>
      </c>
      <c r="H269" s="8">
        <v>2.0</v>
      </c>
      <c r="I269" s="8" t="s">
        <v>14</v>
      </c>
      <c r="J269" s="8" t="s">
        <v>16</v>
      </c>
      <c r="K269" s="8" t="s">
        <v>18</v>
      </c>
      <c r="L269" s="8">
        <v>2.0</v>
      </c>
      <c r="M269" s="8" t="s">
        <v>290</v>
      </c>
    </row>
    <row r="270">
      <c r="A270" s="5">
        <v>46287.63277707176</v>
      </c>
      <c r="B270" s="8" t="s">
        <v>18</v>
      </c>
      <c r="C270" s="8">
        <v>1.0</v>
      </c>
      <c r="D270" s="8" t="s">
        <v>11</v>
      </c>
      <c r="E270" s="8" t="s">
        <v>12</v>
      </c>
      <c r="F270" s="8" t="s">
        <v>13</v>
      </c>
      <c r="G270" s="8">
        <v>4.0</v>
      </c>
      <c r="H270" s="8">
        <v>2.0</v>
      </c>
      <c r="I270" s="8" t="s">
        <v>14</v>
      </c>
      <c r="J270" s="8" t="s">
        <v>16</v>
      </c>
      <c r="K270" s="8" t="s">
        <v>18</v>
      </c>
      <c r="L270" s="8">
        <v>0.0</v>
      </c>
      <c r="M270" s="8" t="s">
        <v>225</v>
      </c>
    </row>
    <row r="271">
      <c r="A271" s="5">
        <v>46287.63277707176</v>
      </c>
      <c r="B271" s="8" t="s">
        <v>18</v>
      </c>
      <c r="C271" s="8">
        <v>1.0</v>
      </c>
      <c r="D271" s="8" t="s">
        <v>11</v>
      </c>
      <c r="E271" s="8" t="s">
        <v>12</v>
      </c>
      <c r="F271" s="8" t="s">
        <v>13</v>
      </c>
      <c r="G271" s="8">
        <v>4.0</v>
      </c>
      <c r="H271" s="8">
        <v>2.0</v>
      </c>
      <c r="I271" s="8" t="s">
        <v>14</v>
      </c>
      <c r="J271" s="8" t="s">
        <v>16</v>
      </c>
      <c r="K271" s="8" t="s">
        <v>18</v>
      </c>
      <c r="L271" s="8">
        <v>1.0</v>
      </c>
      <c r="M271" s="8" t="s">
        <v>225</v>
      </c>
    </row>
    <row r="272">
      <c r="A272" s="5">
        <v>46287.63277707176</v>
      </c>
      <c r="B272" s="8" t="s">
        <v>18</v>
      </c>
      <c r="C272" s="8">
        <v>1.0</v>
      </c>
      <c r="D272" s="8" t="s">
        <v>11</v>
      </c>
      <c r="E272" s="8" t="s">
        <v>12</v>
      </c>
      <c r="F272" s="8" t="s">
        <v>13</v>
      </c>
      <c r="G272" s="8">
        <v>4.0</v>
      </c>
      <c r="H272" s="8">
        <v>2.0</v>
      </c>
      <c r="I272" s="8" t="s">
        <v>14</v>
      </c>
      <c r="J272" s="8" t="s">
        <v>16</v>
      </c>
      <c r="K272" s="8" t="s">
        <v>18</v>
      </c>
      <c r="L272" s="8">
        <v>2.0</v>
      </c>
      <c r="M272" s="8" t="s">
        <v>291</v>
      </c>
    </row>
    <row r="273">
      <c r="A273" s="5">
        <v>46287.632910625005</v>
      </c>
      <c r="B273" s="8" t="s">
        <v>18</v>
      </c>
      <c r="C273" s="8">
        <v>1.0</v>
      </c>
      <c r="D273" s="8" t="s">
        <v>11</v>
      </c>
      <c r="E273" s="8" t="s">
        <v>12</v>
      </c>
      <c r="F273" s="8" t="s">
        <v>13</v>
      </c>
      <c r="G273" s="8">
        <v>4.0</v>
      </c>
      <c r="H273" s="8">
        <v>2.0</v>
      </c>
      <c r="I273" s="8" t="s">
        <v>14</v>
      </c>
      <c r="J273" s="8" t="s">
        <v>16</v>
      </c>
      <c r="K273" s="8" t="s">
        <v>18</v>
      </c>
      <c r="L273" s="8">
        <v>0.0</v>
      </c>
      <c r="M273" s="8" t="s">
        <v>225</v>
      </c>
    </row>
    <row r="274">
      <c r="A274" s="5">
        <v>46287.632910625005</v>
      </c>
      <c r="B274" s="8" t="s">
        <v>18</v>
      </c>
      <c r="C274" s="8">
        <v>1.0</v>
      </c>
      <c r="D274" s="8" t="s">
        <v>11</v>
      </c>
      <c r="E274" s="8" t="s">
        <v>12</v>
      </c>
      <c r="F274" s="8" t="s">
        <v>13</v>
      </c>
      <c r="G274" s="8">
        <v>4.0</v>
      </c>
      <c r="H274" s="8">
        <v>2.0</v>
      </c>
      <c r="I274" s="8" t="s">
        <v>14</v>
      </c>
      <c r="J274" s="8" t="s">
        <v>16</v>
      </c>
      <c r="K274" s="8" t="s">
        <v>18</v>
      </c>
      <c r="L274" s="8">
        <v>1.0</v>
      </c>
      <c r="M274" s="8" t="s">
        <v>225</v>
      </c>
    </row>
    <row r="275">
      <c r="A275" s="5">
        <v>46287.632910625005</v>
      </c>
      <c r="B275" s="8" t="s">
        <v>18</v>
      </c>
      <c r="C275" s="8">
        <v>1.0</v>
      </c>
      <c r="D275" s="8" t="s">
        <v>11</v>
      </c>
      <c r="E275" s="8" t="s">
        <v>12</v>
      </c>
      <c r="F275" s="8" t="s">
        <v>13</v>
      </c>
      <c r="G275" s="8">
        <v>4.0</v>
      </c>
      <c r="H275" s="8">
        <v>2.0</v>
      </c>
      <c r="I275" s="8" t="s">
        <v>14</v>
      </c>
      <c r="J275" s="8" t="s">
        <v>16</v>
      </c>
      <c r="K275" s="8" t="s">
        <v>18</v>
      </c>
      <c r="L275" s="8">
        <v>2.0</v>
      </c>
      <c r="M275" s="8" t="s">
        <v>225</v>
      </c>
    </row>
    <row r="276">
      <c r="A276" s="5">
        <v>46287.637682754634</v>
      </c>
      <c r="B276" s="8" t="s">
        <v>171</v>
      </c>
      <c r="C276" s="8">
        <v>1.0</v>
      </c>
      <c r="D276" s="8" t="s">
        <v>11</v>
      </c>
      <c r="E276" s="8" t="s">
        <v>12</v>
      </c>
      <c r="F276" s="8" t="s">
        <v>13</v>
      </c>
      <c r="G276" s="8">
        <v>4.0</v>
      </c>
      <c r="H276" s="8">
        <v>2.0</v>
      </c>
      <c r="I276" s="8" t="s">
        <v>14</v>
      </c>
      <c r="J276" s="8" t="s">
        <v>16</v>
      </c>
      <c r="K276" s="8" t="s">
        <v>18</v>
      </c>
      <c r="L276" s="8">
        <v>0.0</v>
      </c>
      <c r="M276" s="8" t="s">
        <v>292</v>
      </c>
    </row>
    <row r="277">
      <c r="A277" s="5">
        <v>46287.637682754634</v>
      </c>
      <c r="B277" s="8" t="s">
        <v>171</v>
      </c>
      <c r="C277" s="8">
        <v>1.0</v>
      </c>
      <c r="D277" s="8" t="s">
        <v>11</v>
      </c>
      <c r="E277" s="8" t="s">
        <v>12</v>
      </c>
      <c r="F277" s="8" t="s">
        <v>13</v>
      </c>
      <c r="G277" s="8">
        <v>4.0</v>
      </c>
      <c r="H277" s="8">
        <v>2.0</v>
      </c>
      <c r="I277" s="8" t="s">
        <v>14</v>
      </c>
      <c r="J277" s="8" t="s">
        <v>16</v>
      </c>
      <c r="K277" s="8" t="s">
        <v>18</v>
      </c>
      <c r="L277" s="8">
        <v>1.0</v>
      </c>
      <c r="M277" s="8" t="s">
        <v>293</v>
      </c>
    </row>
    <row r="278">
      <c r="A278" s="5">
        <v>46287.637682754634</v>
      </c>
      <c r="B278" s="8" t="s">
        <v>171</v>
      </c>
      <c r="C278" s="8">
        <v>1.0</v>
      </c>
      <c r="D278" s="8" t="s">
        <v>11</v>
      </c>
      <c r="E278" s="8" t="s">
        <v>12</v>
      </c>
      <c r="F278" s="8" t="s">
        <v>13</v>
      </c>
      <c r="G278" s="8">
        <v>4.0</v>
      </c>
      <c r="H278" s="8">
        <v>2.0</v>
      </c>
      <c r="I278" s="8" t="s">
        <v>14</v>
      </c>
      <c r="J278" s="8" t="s">
        <v>16</v>
      </c>
      <c r="K278" s="8" t="s">
        <v>18</v>
      </c>
      <c r="L278" s="8">
        <v>2.0</v>
      </c>
      <c r="M278" s="8" t="s">
        <v>294</v>
      </c>
    </row>
    <row r="279">
      <c r="A279" s="5">
        <v>46287.64120061343</v>
      </c>
      <c r="B279" s="8" t="s">
        <v>295</v>
      </c>
      <c r="C279" s="8">
        <v>1.0</v>
      </c>
      <c r="D279" s="8" t="s">
        <v>11</v>
      </c>
      <c r="E279" s="8" t="s">
        <v>12</v>
      </c>
      <c r="F279" s="8" t="s">
        <v>13</v>
      </c>
      <c r="G279" s="8">
        <v>4.0</v>
      </c>
      <c r="H279" s="8">
        <v>2.0</v>
      </c>
      <c r="I279" s="8" t="s">
        <v>14</v>
      </c>
      <c r="J279" s="8" t="s">
        <v>16</v>
      </c>
      <c r="K279" s="8" t="s">
        <v>18</v>
      </c>
      <c r="L279" s="8">
        <v>0.0</v>
      </c>
      <c r="M279" s="8" t="s">
        <v>225</v>
      </c>
    </row>
    <row r="280">
      <c r="A280" s="5">
        <v>46287.64120061343</v>
      </c>
      <c r="B280" s="8" t="s">
        <v>295</v>
      </c>
      <c r="C280" s="8">
        <v>1.0</v>
      </c>
      <c r="D280" s="8" t="s">
        <v>11</v>
      </c>
      <c r="E280" s="8" t="s">
        <v>12</v>
      </c>
      <c r="F280" s="8" t="s">
        <v>13</v>
      </c>
      <c r="G280" s="8">
        <v>4.0</v>
      </c>
      <c r="H280" s="8">
        <v>2.0</v>
      </c>
      <c r="I280" s="8" t="s">
        <v>14</v>
      </c>
      <c r="J280" s="8" t="s">
        <v>16</v>
      </c>
      <c r="K280" s="8" t="s">
        <v>18</v>
      </c>
      <c r="L280" s="8">
        <v>1.0</v>
      </c>
      <c r="M280" s="8" t="s">
        <v>225</v>
      </c>
    </row>
    <row r="281">
      <c r="A281" s="5">
        <v>46287.64120061343</v>
      </c>
      <c r="B281" s="8" t="s">
        <v>295</v>
      </c>
      <c r="C281" s="8">
        <v>1.0</v>
      </c>
      <c r="D281" s="8" t="s">
        <v>11</v>
      </c>
      <c r="E281" s="8" t="s">
        <v>12</v>
      </c>
      <c r="F281" s="8" t="s">
        <v>13</v>
      </c>
      <c r="G281" s="8">
        <v>4.0</v>
      </c>
      <c r="H281" s="8">
        <v>2.0</v>
      </c>
      <c r="I281" s="8" t="s">
        <v>14</v>
      </c>
      <c r="J281" s="8" t="s">
        <v>16</v>
      </c>
      <c r="K281" s="8" t="s">
        <v>18</v>
      </c>
      <c r="L281" s="8">
        <v>2.0</v>
      </c>
      <c r="M281" s="8" t="s">
        <v>225</v>
      </c>
    </row>
    <row r="282">
      <c r="A282" s="5">
        <v>46287.681240335645</v>
      </c>
      <c r="B282" s="8" t="s">
        <v>296</v>
      </c>
      <c r="C282" s="8">
        <v>1.0</v>
      </c>
      <c r="D282" s="8" t="s">
        <v>11</v>
      </c>
      <c r="E282" s="8" t="s">
        <v>12</v>
      </c>
      <c r="F282" s="8" t="s">
        <v>13</v>
      </c>
      <c r="G282" s="8">
        <v>4.0</v>
      </c>
      <c r="H282" s="8">
        <v>2.0</v>
      </c>
      <c r="I282" s="8" t="s">
        <v>14</v>
      </c>
      <c r="J282" s="8" t="s">
        <v>16</v>
      </c>
      <c r="K282" s="8" t="s">
        <v>18</v>
      </c>
      <c r="L282" s="8">
        <v>0.0</v>
      </c>
      <c r="M282" s="8" t="s">
        <v>225</v>
      </c>
    </row>
    <row r="283">
      <c r="A283" s="5">
        <v>46287.681240335645</v>
      </c>
      <c r="B283" s="8" t="s">
        <v>296</v>
      </c>
      <c r="C283" s="8">
        <v>1.0</v>
      </c>
      <c r="D283" s="8" t="s">
        <v>11</v>
      </c>
      <c r="E283" s="8" t="s">
        <v>12</v>
      </c>
      <c r="F283" s="8" t="s">
        <v>13</v>
      </c>
      <c r="G283" s="8">
        <v>4.0</v>
      </c>
      <c r="H283" s="8">
        <v>2.0</v>
      </c>
      <c r="I283" s="8" t="s">
        <v>14</v>
      </c>
      <c r="J283" s="8" t="s">
        <v>16</v>
      </c>
      <c r="K283" s="8" t="s">
        <v>18</v>
      </c>
      <c r="L283" s="8">
        <v>1.0</v>
      </c>
      <c r="M283" s="8" t="s">
        <v>225</v>
      </c>
    </row>
    <row r="284">
      <c r="A284" s="5">
        <v>46287.681240335645</v>
      </c>
      <c r="B284" s="8" t="s">
        <v>296</v>
      </c>
      <c r="C284" s="8">
        <v>1.0</v>
      </c>
      <c r="D284" s="8" t="s">
        <v>11</v>
      </c>
      <c r="E284" s="8" t="s">
        <v>12</v>
      </c>
      <c r="F284" s="8" t="s">
        <v>13</v>
      </c>
      <c r="G284" s="8">
        <v>4.0</v>
      </c>
      <c r="H284" s="8">
        <v>2.0</v>
      </c>
      <c r="I284" s="8" t="s">
        <v>14</v>
      </c>
      <c r="J284" s="8" t="s">
        <v>16</v>
      </c>
      <c r="K284" s="8" t="s">
        <v>18</v>
      </c>
      <c r="L284" s="8">
        <v>2.0</v>
      </c>
      <c r="M284" s="8" t="s">
        <v>225</v>
      </c>
    </row>
    <row r="285">
      <c r="A285" s="5">
        <v>46287.68282785879</v>
      </c>
      <c r="B285" s="8" t="s">
        <v>7</v>
      </c>
      <c r="C285" s="8">
        <v>1.0</v>
      </c>
      <c r="D285" s="8" t="s">
        <v>11</v>
      </c>
      <c r="E285" s="8" t="s">
        <v>12</v>
      </c>
      <c r="F285" s="8" t="s">
        <v>13</v>
      </c>
      <c r="G285" s="8">
        <v>4.0</v>
      </c>
      <c r="H285" s="8">
        <v>2.0</v>
      </c>
      <c r="I285" s="8" t="s">
        <v>14</v>
      </c>
      <c r="J285" s="8" t="s">
        <v>16</v>
      </c>
      <c r="K285" s="8" t="s">
        <v>18</v>
      </c>
      <c r="L285" s="8">
        <v>0.0</v>
      </c>
      <c r="M285" s="8" t="s">
        <v>297</v>
      </c>
    </row>
    <row r="286">
      <c r="A286" s="5">
        <v>46287.68282785879</v>
      </c>
      <c r="B286" s="8" t="s">
        <v>7</v>
      </c>
      <c r="C286" s="8">
        <v>1.0</v>
      </c>
      <c r="D286" s="8" t="s">
        <v>11</v>
      </c>
      <c r="E286" s="8" t="s">
        <v>12</v>
      </c>
      <c r="F286" s="8" t="s">
        <v>13</v>
      </c>
      <c r="G286" s="8">
        <v>4.0</v>
      </c>
      <c r="H286" s="8">
        <v>2.0</v>
      </c>
      <c r="I286" s="8" t="s">
        <v>14</v>
      </c>
      <c r="J286" s="8" t="s">
        <v>16</v>
      </c>
      <c r="K286" s="8" t="s">
        <v>18</v>
      </c>
      <c r="L286" s="8">
        <v>1.0</v>
      </c>
      <c r="M286" s="8" t="s">
        <v>298</v>
      </c>
    </row>
    <row r="287">
      <c r="A287" s="5">
        <v>46287.68282785879</v>
      </c>
      <c r="B287" s="8" t="s">
        <v>7</v>
      </c>
      <c r="C287" s="8">
        <v>1.0</v>
      </c>
      <c r="D287" s="8" t="s">
        <v>11</v>
      </c>
      <c r="E287" s="8" t="s">
        <v>12</v>
      </c>
      <c r="F287" s="8" t="s">
        <v>13</v>
      </c>
      <c r="G287" s="8">
        <v>4.0</v>
      </c>
      <c r="H287" s="8">
        <v>2.0</v>
      </c>
      <c r="I287" s="8" t="s">
        <v>14</v>
      </c>
      <c r="J287" s="8" t="s">
        <v>16</v>
      </c>
      <c r="K287" s="8" t="s">
        <v>18</v>
      </c>
      <c r="L287" s="8">
        <v>2.0</v>
      </c>
      <c r="M287" s="8" t="s">
        <v>299</v>
      </c>
    </row>
    <row r="288">
      <c r="A288" s="5">
        <v>46287.682937488426</v>
      </c>
      <c r="B288" s="8" t="s">
        <v>271</v>
      </c>
      <c r="C288" s="8">
        <v>1.0</v>
      </c>
      <c r="D288" s="8" t="s">
        <v>11</v>
      </c>
      <c r="E288" s="8" t="s">
        <v>12</v>
      </c>
      <c r="F288" s="8" t="s">
        <v>13</v>
      </c>
      <c r="G288" s="8">
        <v>4.0</v>
      </c>
      <c r="H288" s="8">
        <v>2.0</v>
      </c>
      <c r="I288" s="8" t="s">
        <v>14</v>
      </c>
      <c r="J288" s="8" t="s">
        <v>16</v>
      </c>
      <c r="K288" s="8" t="s">
        <v>18</v>
      </c>
      <c r="L288" s="8">
        <v>0.0</v>
      </c>
      <c r="M288" s="8" t="s">
        <v>225</v>
      </c>
    </row>
    <row r="289">
      <c r="A289" s="5">
        <v>46287.682937488426</v>
      </c>
      <c r="B289" s="8" t="s">
        <v>271</v>
      </c>
      <c r="C289" s="8">
        <v>1.0</v>
      </c>
      <c r="D289" s="8" t="s">
        <v>11</v>
      </c>
      <c r="E289" s="8" t="s">
        <v>12</v>
      </c>
      <c r="F289" s="8" t="s">
        <v>13</v>
      </c>
      <c r="G289" s="8">
        <v>4.0</v>
      </c>
      <c r="H289" s="8">
        <v>2.0</v>
      </c>
      <c r="I289" s="8" t="s">
        <v>14</v>
      </c>
      <c r="J289" s="8" t="s">
        <v>16</v>
      </c>
      <c r="K289" s="8" t="s">
        <v>18</v>
      </c>
      <c r="L289" s="8">
        <v>1.0</v>
      </c>
      <c r="M289" s="8" t="s">
        <v>300</v>
      </c>
    </row>
    <row r="290">
      <c r="A290" s="5">
        <v>46287.682937488426</v>
      </c>
      <c r="B290" s="8" t="s">
        <v>271</v>
      </c>
      <c r="C290" s="8">
        <v>1.0</v>
      </c>
      <c r="D290" s="8" t="s">
        <v>11</v>
      </c>
      <c r="E290" s="8" t="s">
        <v>12</v>
      </c>
      <c r="F290" s="8" t="s">
        <v>13</v>
      </c>
      <c r="G290" s="8">
        <v>4.0</v>
      </c>
      <c r="H290" s="8">
        <v>2.0</v>
      </c>
      <c r="I290" s="8" t="s">
        <v>14</v>
      </c>
      <c r="J290" s="8" t="s">
        <v>16</v>
      </c>
      <c r="K290" s="8" t="s">
        <v>18</v>
      </c>
      <c r="L290" s="8">
        <v>2.0</v>
      </c>
      <c r="M290" s="8" t="s">
        <v>225</v>
      </c>
    </row>
    <row r="291">
      <c r="A291" s="5">
        <v>46287.683008437496</v>
      </c>
      <c r="B291" s="8" t="s">
        <v>207</v>
      </c>
      <c r="C291" s="8">
        <v>1.0</v>
      </c>
      <c r="D291" s="8" t="s">
        <v>11</v>
      </c>
      <c r="E291" s="8" t="s">
        <v>12</v>
      </c>
      <c r="F291" s="8" t="s">
        <v>13</v>
      </c>
      <c r="G291" s="8">
        <v>4.0</v>
      </c>
      <c r="H291" s="8">
        <v>2.0</v>
      </c>
      <c r="I291" s="8" t="s">
        <v>14</v>
      </c>
      <c r="J291" s="8" t="s">
        <v>16</v>
      </c>
      <c r="K291" s="8" t="s">
        <v>18</v>
      </c>
      <c r="L291" s="8">
        <v>0.0</v>
      </c>
      <c r="M291" s="8" t="s">
        <v>225</v>
      </c>
    </row>
    <row r="292">
      <c r="A292" s="5">
        <v>46287.683008437496</v>
      </c>
      <c r="B292" s="8" t="s">
        <v>207</v>
      </c>
      <c r="C292" s="8">
        <v>1.0</v>
      </c>
      <c r="D292" s="8" t="s">
        <v>11</v>
      </c>
      <c r="E292" s="8" t="s">
        <v>12</v>
      </c>
      <c r="F292" s="8" t="s">
        <v>13</v>
      </c>
      <c r="G292" s="8">
        <v>4.0</v>
      </c>
      <c r="H292" s="8">
        <v>2.0</v>
      </c>
      <c r="I292" s="8" t="s">
        <v>14</v>
      </c>
      <c r="J292" s="8" t="s">
        <v>16</v>
      </c>
      <c r="K292" s="8" t="s">
        <v>18</v>
      </c>
      <c r="L292" s="8">
        <v>1.0</v>
      </c>
      <c r="M292" s="8" t="s">
        <v>301</v>
      </c>
    </row>
    <row r="293">
      <c r="A293" s="5">
        <v>46287.683008437496</v>
      </c>
      <c r="B293" s="8" t="s">
        <v>207</v>
      </c>
      <c r="C293" s="8">
        <v>1.0</v>
      </c>
      <c r="D293" s="8" t="s">
        <v>11</v>
      </c>
      <c r="E293" s="8" t="s">
        <v>12</v>
      </c>
      <c r="F293" s="8" t="s">
        <v>13</v>
      </c>
      <c r="G293" s="8">
        <v>4.0</v>
      </c>
      <c r="H293" s="8">
        <v>2.0</v>
      </c>
      <c r="I293" s="8" t="s">
        <v>14</v>
      </c>
      <c r="J293" s="8" t="s">
        <v>16</v>
      </c>
      <c r="K293" s="8" t="s">
        <v>18</v>
      </c>
      <c r="L293" s="8">
        <v>2.0</v>
      </c>
      <c r="M293" s="8" t="s">
        <v>225</v>
      </c>
    </row>
    <row r="294">
      <c r="A294" s="5">
        <v>46287.6839275463</v>
      </c>
      <c r="B294" s="8" t="s">
        <v>88</v>
      </c>
      <c r="C294" s="8">
        <v>1.0</v>
      </c>
      <c r="D294" s="8" t="s">
        <v>11</v>
      </c>
      <c r="E294" s="8" t="s">
        <v>12</v>
      </c>
      <c r="F294" s="8" t="s">
        <v>13</v>
      </c>
      <c r="G294" s="8">
        <v>4.0</v>
      </c>
      <c r="H294" s="8">
        <v>2.0</v>
      </c>
      <c r="I294" s="8" t="s">
        <v>14</v>
      </c>
      <c r="J294" s="8" t="s">
        <v>16</v>
      </c>
      <c r="K294" s="8" t="s">
        <v>18</v>
      </c>
      <c r="L294" s="8">
        <v>0.0</v>
      </c>
      <c r="M294" s="8" t="s">
        <v>225</v>
      </c>
    </row>
    <row r="295">
      <c r="A295" s="5">
        <v>46287.6839275463</v>
      </c>
      <c r="B295" s="8" t="s">
        <v>88</v>
      </c>
      <c r="C295" s="8">
        <v>1.0</v>
      </c>
      <c r="D295" s="8" t="s">
        <v>11</v>
      </c>
      <c r="E295" s="8" t="s">
        <v>12</v>
      </c>
      <c r="F295" s="8" t="s">
        <v>13</v>
      </c>
      <c r="G295" s="8">
        <v>4.0</v>
      </c>
      <c r="H295" s="8">
        <v>2.0</v>
      </c>
      <c r="I295" s="8" t="s">
        <v>14</v>
      </c>
      <c r="J295" s="8" t="s">
        <v>16</v>
      </c>
      <c r="K295" s="8" t="s">
        <v>18</v>
      </c>
      <c r="L295" s="8">
        <v>1.0</v>
      </c>
      <c r="M295" s="8" t="s">
        <v>302</v>
      </c>
    </row>
    <row r="296">
      <c r="A296" s="5">
        <v>46287.6839275463</v>
      </c>
      <c r="B296" s="8" t="s">
        <v>88</v>
      </c>
      <c r="C296" s="8">
        <v>1.0</v>
      </c>
      <c r="D296" s="8" t="s">
        <v>11</v>
      </c>
      <c r="E296" s="8" t="s">
        <v>12</v>
      </c>
      <c r="F296" s="8" t="s">
        <v>13</v>
      </c>
      <c r="G296" s="8">
        <v>4.0</v>
      </c>
      <c r="H296" s="8">
        <v>2.0</v>
      </c>
      <c r="I296" s="8" t="s">
        <v>14</v>
      </c>
      <c r="J296" s="8" t="s">
        <v>16</v>
      </c>
      <c r="K296" s="8" t="s">
        <v>18</v>
      </c>
      <c r="L296" s="8">
        <v>2.0</v>
      </c>
      <c r="M296" s="8" t="s">
        <v>225</v>
      </c>
    </row>
    <row r="297">
      <c r="A297" s="5">
        <v>46287.684084548615</v>
      </c>
      <c r="B297" s="8" t="s">
        <v>275</v>
      </c>
      <c r="C297" s="8">
        <v>1.0</v>
      </c>
      <c r="D297" s="8" t="s">
        <v>11</v>
      </c>
      <c r="E297" s="8" t="s">
        <v>12</v>
      </c>
      <c r="F297" s="8" t="s">
        <v>13</v>
      </c>
      <c r="G297" s="8">
        <v>4.0</v>
      </c>
      <c r="H297" s="8">
        <v>2.0</v>
      </c>
      <c r="I297" s="8" t="s">
        <v>14</v>
      </c>
      <c r="J297" s="8" t="s">
        <v>16</v>
      </c>
      <c r="K297" s="8" t="s">
        <v>18</v>
      </c>
      <c r="L297" s="8">
        <v>0.0</v>
      </c>
      <c r="M297" s="8" t="s">
        <v>303</v>
      </c>
    </row>
    <row r="298">
      <c r="A298" s="5">
        <v>46287.684084548615</v>
      </c>
      <c r="B298" s="8" t="s">
        <v>275</v>
      </c>
      <c r="C298" s="8">
        <v>1.0</v>
      </c>
      <c r="D298" s="8" t="s">
        <v>11</v>
      </c>
      <c r="E298" s="8" t="s">
        <v>12</v>
      </c>
      <c r="F298" s="8" t="s">
        <v>13</v>
      </c>
      <c r="G298" s="8">
        <v>4.0</v>
      </c>
      <c r="H298" s="8">
        <v>2.0</v>
      </c>
      <c r="I298" s="8" t="s">
        <v>14</v>
      </c>
      <c r="J298" s="8" t="s">
        <v>16</v>
      </c>
      <c r="K298" s="8" t="s">
        <v>18</v>
      </c>
      <c r="L298" s="8">
        <v>1.0</v>
      </c>
      <c r="M298" s="8" t="s">
        <v>225</v>
      </c>
    </row>
    <row r="299">
      <c r="A299" s="5">
        <v>46287.684084548615</v>
      </c>
      <c r="B299" s="8" t="s">
        <v>275</v>
      </c>
      <c r="C299" s="8">
        <v>1.0</v>
      </c>
      <c r="D299" s="8" t="s">
        <v>11</v>
      </c>
      <c r="E299" s="8" t="s">
        <v>12</v>
      </c>
      <c r="F299" s="8" t="s">
        <v>13</v>
      </c>
      <c r="G299" s="8">
        <v>4.0</v>
      </c>
      <c r="H299" s="8">
        <v>2.0</v>
      </c>
      <c r="I299" s="8" t="s">
        <v>14</v>
      </c>
      <c r="J299" s="8" t="s">
        <v>16</v>
      </c>
      <c r="K299" s="8" t="s">
        <v>18</v>
      </c>
      <c r="L299" s="8">
        <v>2.0</v>
      </c>
      <c r="M299" s="8" t="s">
        <v>225</v>
      </c>
    </row>
    <row r="300">
      <c r="A300" s="5">
        <v>46287.68461460648</v>
      </c>
      <c r="B300" s="8" t="s">
        <v>296</v>
      </c>
      <c r="C300" s="8">
        <v>1.0</v>
      </c>
      <c r="D300" s="8" t="s">
        <v>11</v>
      </c>
      <c r="E300" s="8" t="s">
        <v>12</v>
      </c>
      <c r="F300" s="8" t="s">
        <v>13</v>
      </c>
      <c r="G300" s="8">
        <v>4.0</v>
      </c>
      <c r="H300" s="8">
        <v>2.0</v>
      </c>
      <c r="I300" s="8" t="s">
        <v>14</v>
      </c>
      <c r="J300" s="8" t="s">
        <v>16</v>
      </c>
      <c r="K300" s="8" t="s">
        <v>18</v>
      </c>
      <c r="L300" s="8">
        <v>0.0</v>
      </c>
      <c r="M300" s="8" t="s">
        <v>304</v>
      </c>
    </row>
    <row r="301">
      <c r="A301" s="5">
        <v>46287.68461460648</v>
      </c>
      <c r="B301" s="8" t="s">
        <v>296</v>
      </c>
      <c r="C301" s="8">
        <v>1.0</v>
      </c>
      <c r="D301" s="8" t="s">
        <v>11</v>
      </c>
      <c r="E301" s="8" t="s">
        <v>12</v>
      </c>
      <c r="F301" s="8" t="s">
        <v>13</v>
      </c>
      <c r="G301" s="8">
        <v>4.0</v>
      </c>
      <c r="H301" s="8">
        <v>2.0</v>
      </c>
      <c r="I301" s="8" t="s">
        <v>14</v>
      </c>
      <c r="J301" s="8" t="s">
        <v>16</v>
      </c>
      <c r="K301" s="8" t="s">
        <v>18</v>
      </c>
      <c r="L301" s="8">
        <v>1.0</v>
      </c>
      <c r="M301" s="8" t="s">
        <v>225</v>
      </c>
    </row>
    <row r="302">
      <c r="A302" s="5">
        <v>46287.68461460648</v>
      </c>
      <c r="B302" s="8" t="s">
        <v>296</v>
      </c>
      <c r="C302" s="8">
        <v>1.0</v>
      </c>
      <c r="D302" s="8" t="s">
        <v>11</v>
      </c>
      <c r="E302" s="8" t="s">
        <v>12</v>
      </c>
      <c r="F302" s="8" t="s">
        <v>13</v>
      </c>
      <c r="G302" s="8">
        <v>4.0</v>
      </c>
      <c r="H302" s="8">
        <v>2.0</v>
      </c>
      <c r="I302" s="8" t="s">
        <v>14</v>
      </c>
      <c r="J302" s="8" t="s">
        <v>16</v>
      </c>
      <c r="K302" s="8" t="s">
        <v>18</v>
      </c>
      <c r="L302" s="8">
        <v>2.0</v>
      </c>
      <c r="M302" s="8" t="s">
        <v>225</v>
      </c>
    </row>
    <row r="303">
      <c r="A303" s="5">
        <v>46287.685135949076</v>
      </c>
      <c r="B303" s="8" t="s">
        <v>271</v>
      </c>
      <c r="C303" s="8">
        <v>1.0</v>
      </c>
      <c r="D303" s="8" t="s">
        <v>11</v>
      </c>
      <c r="E303" s="8" t="s">
        <v>12</v>
      </c>
      <c r="F303" s="8" t="s">
        <v>13</v>
      </c>
      <c r="G303" s="8">
        <v>4.0</v>
      </c>
      <c r="H303" s="8">
        <v>2.0</v>
      </c>
      <c r="I303" s="8" t="s">
        <v>14</v>
      </c>
      <c r="J303" s="8" t="s">
        <v>16</v>
      </c>
      <c r="K303" s="8" t="s">
        <v>18</v>
      </c>
      <c r="L303" s="8">
        <v>0.0</v>
      </c>
      <c r="M303" s="8" t="s">
        <v>305</v>
      </c>
    </row>
    <row r="304">
      <c r="A304" s="5">
        <v>46287.685135949076</v>
      </c>
      <c r="B304" s="8" t="s">
        <v>271</v>
      </c>
      <c r="C304" s="8">
        <v>1.0</v>
      </c>
      <c r="D304" s="8" t="s">
        <v>11</v>
      </c>
      <c r="E304" s="8" t="s">
        <v>12</v>
      </c>
      <c r="F304" s="8" t="s">
        <v>13</v>
      </c>
      <c r="G304" s="8">
        <v>4.0</v>
      </c>
      <c r="H304" s="8">
        <v>2.0</v>
      </c>
      <c r="I304" s="8" t="s">
        <v>14</v>
      </c>
      <c r="J304" s="8" t="s">
        <v>16</v>
      </c>
      <c r="K304" s="8" t="s">
        <v>18</v>
      </c>
      <c r="L304" s="8">
        <v>1.0</v>
      </c>
      <c r="M304" s="8" t="s">
        <v>306</v>
      </c>
    </row>
    <row r="305">
      <c r="A305" s="5">
        <v>46287.685135949076</v>
      </c>
      <c r="B305" s="8" t="s">
        <v>271</v>
      </c>
      <c r="C305" s="8">
        <v>1.0</v>
      </c>
      <c r="D305" s="8" t="s">
        <v>11</v>
      </c>
      <c r="E305" s="8" t="s">
        <v>12</v>
      </c>
      <c r="F305" s="8" t="s">
        <v>13</v>
      </c>
      <c r="G305" s="8">
        <v>4.0</v>
      </c>
      <c r="H305" s="8">
        <v>2.0</v>
      </c>
      <c r="I305" s="8" t="s">
        <v>14</v>
      </c>
      <c r="J305" s="8" t="s">
        <v>16</v>
      </c>
      <c r="K305" s="8" t="s">
        <v>18</v>
      </c>
      <c r="L305" s="8">
        <v>2.0</v>
      </c>
      <c r="M305" s="8" t="s">
        <v>307</v>
      </c>
    </row>
    <row r="306">
      <c r="A306" s="5">
        <v>46288.3998644213</v>
      </c>
      <c r="B306" s="8" t="s">
        <v>18</v>
      </c>
      <c r="C306" s="8">
        <v>10.0</v>
      </c>
      <c r="D306" s="8" t="s">
        <v>11</v>
      </c>
      <c r="E306" s="8" t="s">
        <v>12</v>
      </c>
      <c r="F306" s="8" t="s">
        <v>13</v>
      </c>
      <c r="G306" s="8">
        <v>1.0</v>
      </c>
      <c r="H306" s="8">
        <v>1.0</v>
      </c>
      <c r="I306" s="8" t="s">
        <v>14</v>
      </c>
      <c r="J306" s="8" t="s">
        <v>96</v>
      </c>
      <c r="K306" s="8" t="s">
        <v>18</v>
      </c>
      <c r="L306" s="8">
        <v>0.0</v>
      </c>
      <c r="M306" s="8" t="s">
        <v>308</v>
      </c>
    </row>
    <row r="307">
      <c r="A307" s="5">
        <v>46288.40048505787</v>
      </c>
      <c r="B307" s="8" t="s">
        <v>164</v>
      </c>
      <c r="C307" s="8">
        <v>10.0</v>
      </c>
      <c r="D307" s="8" t="s">
        <v>11</v>
      </c>
      <c r="E307" s="8" t="s">
        <v>12</v>
      </c>
      <c r="F307" s="8" t="s">
        <v>13</v>
      </c>
      <c r="G307" s="8">
        <v>1.0</v>
      </c>
      <c r="H307" s="8">
        <v>1.0</v>
      </c>
      <c r="I307" s="8" t="s">
        <v>14</v>
      </c>
      <c r="J307" s="8" t="s">
        <v>96</v>
      </c>
      <c r="K307" s="8" t="s">
        <v>18</v>
      </c>
      <c r="L307" s="8">
        <v>0.0</v>
      </c>
      <c r="M307" s="8" t="s">
        <v>309</v>
      </c>
    </row>
    <row r="308">
      <c r="A308" s="5">
        <v>46288.404222337966</v>
      </c>
      <c r="B308" s="8" t="s">
        <v>271</v>
      </c>
      <c r="C308" s="8">
        <v>1.0</v>
      </c>
      <c r="D308" s="8" t="s">
        <v>11</v>
      </c>
      <c r="E308" s="8" t="s">
        <v>12</v>
      </c>
      <c r="F308" s="8" t="s">
        <v>13</v>
      </c>
      <c r="G308" s="8">
        <v>4.0</v>
      </c>
      <c r="H308" s="8">
        <v>2.0</v>
      </c>
      <c r="I308" s="8" t="s">
        <v>14</v>
      </c>
      <c r="J308" s="8" t="s">
        <v>16</v>
      </c>
      <c r="K308" s="8" t="s">
        <v>18</v>
      </c>
      <c r="L308" s="8">
        <v>0.0</v>
      </c>
      <c r="M308" s="8" t="s">
        <v>310</v>
      </c>
    </row>
    <row r="309">
      <c r="A309" s="5">
        <v>46288.404222337966</v>
      </c>
      <c r="B309" s="8" t="s">
        <v>271</v>
      </c>
      <c r="C309" s="8">
        <v>1.0</v>
      </c>
      <c r="D309" s="8" t="s">
        <v>11</v>
      </c>
      <c r="E309" s="8" t="s">
        <v>12</v>
      </c>
      <c r="F309" s="8" t="s">
        <v>13</v>
      </c>
      <c r="G309" s="8">
        <v>4.0</v>
      </c>
      <c r="H309" s="8">
        <v>2.0</v>
      </c>
      <c r="I309" s="8" t="s">
        <v>14</v>
      </c>
      <c r="J309" s="8" t="s">
        <v>16</v>
      </c>
      <c r="K309" s="8" t="s">
        <v>18</v>
      </c>
      <c r="L309" s="8">
        <v>1.0</v>
      </c>
      <c r="M309" s="8" t="s">
        <v>225</v>
      </c>
    </row>
    <row r="310">
      <c r="A310" s="5">
        <v>46288.404222337966</v>
      </c>
      <c r="B310" s="8" t="s">
        <v>271</v>
      </c>
      <c r="C310" s="8">
        <v>1.0</v>
      </c>
      <c r="D310" s="8" t="s">
        <v>11</v>
      </c>
      <c r="E310" s="8" t="s">
        <v>12</v>
      </c>
      <c r="F310" s="8" t="s">
        <v>13</v>
      </c>
      <c r="G310" s="8">
        <v>4.0</v>
      </c>
      <c r="H310" s="8">
        <v>2.0</v>
      </c>
      <c r="I310" s="8" t="s">
        <v>14</v>
      </c>
      <c r="J310" s="8" t="s">
        <v>16</v>
      </c>
      <c r="K310" s="8" t="s">
        <v>18</v>
      </c>
      <c r="L310" s="8">
        <v>2.0</v>
      </c>
      <c r="M310" s="8" t="s">
        <v>225</v>
      </c>
    </row>
    <row r="311">
      <c r="A311" s="5">
        <v>46288.40468769676</v>
      </c>
      <c r="B311" s="8" t="s">
        <v>145</v>
      </c>
      <c r="C311" s="8">
        <v>1.0</v>
      </c>
      <c r="D311" s="8" t="s">
        <v>11</v>
      </c>
      <c r="E311" s="8" t="s">
        <v>12</v>
      </c>
      <c r="F311" s="8" t="s">
        <v>13</v>
      </c>
      <c r="G311" s="8">
        <v>4.0</v>
      </c>
      <c r="H311" s="8">
        <v>2.0</v>
      </c>
      <c r="I311" s="8" t="s">
        <v>14</v>
      </c>
      <c r="J311" s="8" t="s">
        <v>16</v>
      </c>
      <c r="K311" s="8" t="s">
        <v>18</v>
      </c>
      <c r="L311" s="8">
        <v>0.0</v>
      </c>
      <c r="M311" s="8" t="s">
        <v>225</v>
      </c>
    </row>
    <row r="312">
      <c r="A312" s="5">
        <v>46288.40468769676</v>
      </c>
      <c r="B312" s="8" t="s">
        <v>145</v>
      </c>
      <c r="C312" s="8">
        <v>1.0</v>
      </c>
      <c r="D312" s="8" t="s">
        <v>11</v>
      </c>
      <c r="E312" s="8" t="s">
        <v>12</v>
      </c>
      <c r="F312" s="8" t="s">
        <v>13</v>
      </c>
      <c r="G312" s="8">
        <v>4.0</v>
      </c>
      <c r="H312" s="8">
        <v>2.0</v>
      </c>
      <c r="I312" s="8" t="s">
        <v>14</v>
      </c>
      <c r="J312" s="8" t="s">
        <v>16</v>
      </c>
      <c r="K312" s="8" t="s">
        <v>18</v>
      </c>
      <c r="L312" s="8">
        <v>1.0</v>
      </c>
      <c r="M312" s="8" t="s">
        <v>311</v>
      </c>
    </row>
    <row r="313">
      <c r="A313" s="5">
        <v>46288.40468769676</v>
      </c>
      <c r="B313" s="8" t="s">
        <v>145</v>
      </c>
      <c r="C313" s="8">
        <v>1.0</v>
      </c>
      <c r="D313" s="8" t="s">
        <v>11</v>
      </c>
      <c r="E313" s="8" t="s">
        <v>12</v>
      </c>
      <c r="F313" s="8" t="s">
        <v>13</v>
      </c>
      <c r="G313" s="8">
        <v>4.0</v>
      </c>
      <c r="H313" s="8">
        <v>2.0</v>
      </c>
      <c r="I313" s="8" t="s">
        <v>14</v>
      </c>
      <c r="J313" s="8" t="s">
        <v>16</v>
      </c>
      <c r="K313" s="8" t="s">
        <v>18</v>
      </c>
      <c r="L313" s="8">
        <v>2.0</v>
      </c>
      <c r="M313" s="8" t="s">
        <v>225</v>
      </c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  <row r="1001">
      <c r="A1001" s="5"/>
    </row>
    <row r="1002">
      <c r="A1002" s="5"/>
    </row>
    <row r="1003">
      <c r="A1003" s="5"/>
    </row>
    <row r="1004">
      <c r="A1004" s="5"/>
    </row>
    <row r="1005">
      <c r="A1005" s="5"/>
    </row>
    <row r="1006">
      <c r="A1006" s="5"/>
    </row>
    <row r="1007">
      <c r="A1007" s="5"/>
    </row>
    <row r="1008">
      <c r="A1008" s="5"/>
    </row>
    <row r="1009">
      <c r="A1009" s="5"/>
    </row>
    <row r="1010">
      <c r="A1010" s="5"/>
    </row>
    <row r="1011">
      <c r="A1011" s="5"/>
    </row>
    <row r="1012">
      <c r="A1012" s="5"/>
    </row>
    <row r="1013">
      <c r="A1013" s="5"/>
    </row>
    <row r="1014">
      <c r="A1014" s="5"/>
    </row>
    <row r="1015">
      <c r="A1015" s="5"/>
    </row>
    <row r="1016">
      <c r="A1016" s="5"/>
    </row>
    <row r="1017">
      <c r="A1017" s="5"/>
    </row>
    <row r="1018">
      <c r="A1018" s="5"/>
    </row>
    <row r="1019">
      <c r="A1019" s="5"/>
    </row>
    <row r="1020">
      <c r="A1020" s="5"/>
    </row>
    <row r="1021">
      <c r="A1021" s="5"/>
    </row>
    <row r="1022">
      <c r="A1022" s="5"/>
    </row>
    <row r="1023">
      <c r="A1023" s="5"/>
    </row>
    <row r="1024">
      <c r="A1024" s="5"/>
    </row>
    <row r="1025">
      <c r="A1025" s="5"/>
    </row>
    <row r="1026">
      <c r="A1026" s="5"/>
    </row>
    <row r="1027">
      <c r="A1027" s="5"/>
    </row>
    <row r="1028">
      <c r="A1028" s="5"/>
    </row>
    <row r="1029">
      <c r="A1029" s="5"/>
    </row>
    <row r="1030">
      <c r="A1030" s="5"/>
    </row>
    <row r="1031">
      <c r="A1031" s="5"/>
    </row>
    <row r="1032">
      <c r="A1032" s="5"/>
    </row>
    <row r="1033">
      <c r="A1033" s="5"/>
    </row>
    <row r="1034">
      <c r="A1034" s="5"/>
    </row>
    <row r="1035">
      <c r="A1035" s="5"/>
    </row>
    <row r="1036">
      <c r="A1036" s="5"/>
    </row>
    <row r="1037">
      <c r="A1037" s="5"/>
    </row>
    <row r="1038">
      <c r="A1038" s="5"/>
    </row>
    <row r="1039">
      <c r="A1039" s="5"/>
    </row>
    <row r="1040">
      <c r="A1040" s="5"/>
    </row>
    <row r="1041">
      <c r="A1041" s="5"/>
    </row>
    <row r="1042">
      <c r="A1042" s="5"/>
    </row>
    <row r="1043">
      <c r="A1043" s="5"/>
    </row>
    <row r="1044">
      <c r="A1044" s="5"/>
    </row>
    <row r="1045">
      <c r="A1045" s="5"/>
    </row>
    <row r="1046">
      <c r="A1046" s="5"/>
    </row>
    <row r="1047">
      <c r="A1047" s="5"/>
    </row>
    <row r="1048">
      <c r="A1048" s="5"/>
    </row>
    <row r="1049">
      <c r="A1049" s="5"/>
    </row>
    <row r="1050">
      <c r="A1050" s="5"/>
    </row>
    <row r="1051">
      <c r="A1051" s="5"/>
    </row>
    <row r="1052">
      <c r="A1052" s="5"/>
    </row>
    <row r="1053">
      <c r="A1053" s="5"/>
    </row>
    <row r="1054">
      <c r="A1054" s="5"/>
    </row>
    <row r="1055">
      <c r="A1055" s="5"/>
    </row>
    <row r="1056">
      <c r="A1056" s="5"/>
    </row>
    <row r="1057">
      <c r="A1057" s="5"/>
    </row>
    <row r="1058">
      <c r="A1058" s="5"/>
    </row>
    <row r="1059">
      <c r="A1059" s="5"/>
    </row>
    <row r="1060">
      <c r="A1060" s="5"/>
    </row>
    <row r="1061">
      <c r="A1061" s="5"/>
    </row>
    <row r="1062">
      <c r="A1062" s="5"/>
    </row>
    <row r="1063">
      <c r="A1063" s="5"/>
    </row>
    <row r="1064">
      <c r="A1064" s="5"/>
    </row>
    <row r="1065">
      <c r="A1065" s="5"/>
    </row>
    <row r="1066">
      <c r="A1066" s="5"/>
    </row>
    <row r="1067">
      <c r="A1067" s="5"/>
    </row>
    <row r="1068">
      <c r="A1068" s="5"/>
    </row>
    <row r="1069">
      <c r="A1069" s="5"/>
    </row>
    <row r="1070">
      <c r="A1070" s="5"/>
    </row>
    <row r="1071">
      <c r="A1071" s="5"/>
    </row>
    <row r="1072">
      <c r="A1072" s="5"/>
    </row>
    <row r="1073">
      <c r="A1073" s="5"/>
    </row>
    <row r="1074">
      <c r="A1074" s="5"/>
    </row>
    <row r="1075">
      <c r="A1075" s="5"/>
    </row>
    <row r="1076">
      <c r="A1076" s="5"/>
    </row>
    <row r="1077">
      <c r="A1077" s="5"/>
    </row>
    <row r="1078">
      <c r="A1078" s="5"/>
    </row>
    <row r="1079">
      <c r="A1079" s="5"/>
    </row>
    <row r="1080">
      <c r="A1080" s="5"/>
    </row>
    <row r="1081">
      <c r="A1081" s="5"/>
    </row>
    <row r="1082">
      <c r="A1082" s="5"/>
    </row>
    <row r="1083">
      <c r="A1083" s="5"/>
    </row>
    <row r="1084">
      <c r="A1084" s="5"/>
    </row>
    <row r="1085">
      <c r="A1085" s="5"/>
    </row>
    <row r="1086">
      <c r="A1086" s="5"/>
    </row>
    <row r="1087">
      <c r="A1087" s="5"/>
    </row>
    <row r="1088">
      <c r="A1088" s="5"/>
    </row>
    <row r="1089">
      <c r="A1089" s="5"/>
    </row>
    <row r="1090">
      <c r="A1090" s="5"/>
    </row>
    <row r="1091">
      <c r="A1091" s="5"/>
    </row>
    <row r="1092">
      <c r="A1092" s="5"/>
    </row>
    <row r="1093">
      <c r="A1093" s="5"/>
    </row>
    <row r="1094">
      <c r="A1094" s="5"/>
    </row>
    <row r="1095">
      <c r="A1095" s="5"/>
    </row>
    <row r="1096">
      <c r="A1096" s="5"/>
    </row>
    <row r="1097">
      <c r="A1097" s="5"/>
    </row>
    <row r="1098">
      <c r="A1098" s="5"/>
    </row>
    <row r="1099">
      <c r="A1099" s="5"/>
    </row>
    <row r="1100">
      <c r="A1100" s="5"/>
    </row>
    <row r="1101">
      <c r="A1101" s="5"/>
    </row>
    <row r="1102">
      <c r="A1102" s="5"/>
    </row>
    <row r="1103">
      <c r="A1103" s="5"/>
    </row>
    <row r="1104">
      <c r="A1104" s="5"/>
    </row>
    <row r="1105">
      <c r="A1105" s="5"/>
    </row>
    <row r="1106">
      <c r="A1106" s="5"/>
    </row>
    <row r="1107">
      <c r="A1107" s="5"/>
    </row>
    <row r="1108">
      <c r="A1108" s="5"/>
    </row>
    <row r="1109">
      <c r="A1109" s="5"/>
    </row>
    <row r="1110">
      <c r="A1110" s="5"/>
    </row>
    <row r="1111">
      <c r="A1111" s="5"/>
    </row>
    <row r="1112">
      <c r="A1112" s="5"/>
    </row>
    <row r="1113">
      <c r="A1113" s="5"/>
    </row>
    <row r="1114">
      <c r="A1114" s="5"/>
    </row>
    <row r="1115">
      <c r="A1115" s="5"/>
    </row>
    <row r="1116">
      <c r="A1116" s="5"/>
    </row>
    <row r="1117">
      <c r="A1117" s="5"/>
    </row>
    <row r="1118">
      <c r="A1118" s="5"/>
    </row>
    <row r="1119">
      <c r="A1119" s="5"/>
    </row>
    <row r="1120">
      <c r="A1120" s="5"/>
    </row>
    <row r="1121">
      <c r="A1121" s="5"/>
    </row>
    <row r="1122">
      <c r="A1122" s="5"/>
    </row>
    <row r="1123">
      <c r="A1123" s="5"/>
    </row>
    <row r="1124">
      <c r="A1124" s="5"/>
    </row>
    <row r="1125">
      <c r="A1125" s="5"/>
    </row>
    <row r="1126">
      <c r="A1126" s="5"/>
    </row>
    <row r="1127">
      <c r="A1127" s="5"/>
    </row>
    <row r="1128">
      <c r="A1128" s="5"/>
    </row>
    <row r="1129">
      <c r="A1129" s="5"/>
    </row>
    <row r="1130">
      <c r="A1130" s="5"/>
    </row>
    <row r="1131">
      <c r="A1131" s="5"/>
    </row>
    <row r="1132">
      <c r="A1132" s="5"/>
    </row>
    <row r="1133">
      <c r="A1133" s="5"/>
    </row>
    <row r="1134">
      <c r="A1134" s="5"/>
    </row>
    <row r="1135">
      <c r="A1135" s="5"/>
    </row>
    <row r="1136">
      <c r="A1136" s="5"/>
    </row>
    <row r="1137">
      <c r="A1137" s="5"/>
    </row>
    <row r="1138">
      <c r="A1138" s="5"/>
    </row>
    <row r="1139">
      <c r="A1139" s="5"/>
    </row>
    <row r="1140">
      <c r="A1140" s="5"/>
    </row>
    <row r="1141">
      <c r="A1141" s="5"/>
    </row>
    <row r="1142">
      <c r="A1142" s="5"/>
    </row>
    <row r="1143">
      <c r="A1143" s="5"/>
    </row>
    <row r="1144">
      <c r="A1144" s="5"/>
    </row>
    <row r="1145">
      <c r="A1145" s="5"/>
    </row>
    <row r="1146">
      <c r="A1146" s="5"/>
    </row>
    <row r="1147">
      <c r="A1147" s="5"/>
    </row>
    <row r="1148">
      <c r="A1148" s="5"/>
    </row>
    <row r="1149">
      <c r="A1149" s="5"/>
    </row>
    <row r="1150">
      <c r="A1150" s="5"/>
    </row>
    <row r="1151">
      <c r="A1151" s="5"/>
    </row>
    <row r="1152">
      <c r="A1152" s="5"/>
    </row>
    <row r="1153">
      <c r="A1153" s="5"/>
    </row>
    <row r="1154">
      <c r="A1154" s="5"/>
    </row>
    <row r="1155">
      <c r="A1155" s="5"/>
    </row>
    <row r="1156">
      <c r="A1156" s="5"/>
    </row>
    <row r="1157">
      <c r="A1157" s="5"/>
    </row>
    <row r="1158">
      <c r="A1158" s="5"/>
    </row>
    <row r="1159">
      <c r="A1159" s="5"/>
    </row>
    <row r="1160">
      <c r="A1160" s="5"/>
    </row>
    <row r="1161">
      <c r="A1161" s="5"/>
    </row>
    <row r="1162">
      <c r="A1162" s="5"/>
    </row>
    <row r="1163">
      <c r="A1163" s="5"/>
    </row>
    <row r="1164">
      <c r="A1164" s="5"/>
    </row>
    <row r="1165">
      <c r="A1165" s="5"/>
    </row>
    <row r="1166">
      <c r="A1166" s="5"/>
    </row>
    <row r="1167">
      <c r="A1167" s="5"/>
    </row>
    <row r="1168">
      <c r="A1168" s="5"/>
    </row>
    <row r="1169">
      <c r="A1169" s="5"/>
    </row>
    <row r="1170">
      <c r="A1170" s="5"/>
    </row>
    <row r="1171">
      <c r="A1171" s="5"/>
    </row>
    <row r="1172">
      <c r="A1172" s="5"/>
    </row>
    <row r="1173">
      <c r="A1173" s="5"/>
    </row>
    <row r="1174">
      <c r="A1174" s="5"/>
    </row>
    <row r="1175">
      <c r="A1175" s="5"/>
    </row>
    <row r="1176">
      <c r="A1176" s="5"/>
    </row>
    <row r="1177">
      <c r="A1177" s="5"/>
    </row>
    <row r="1178">
      <c r="A1178" s="5"/>
    </row>
    <row r="1179">
      <c r="A1179" s="5"/>
    </row>
    <row r="1180">
      <c r="A1180" s="5"/>
    </row>
    <row r="1181">
      <c r="A1181" s="5"/>
    </row>
    <row r="1182">
      <c r="A1182" s="5"/>
    </row>
    <row r="1183">
      <c r="A1183" s="5"/>
    </row>
    <row r="1184">
      <c r="A1184" s="5"/>
    </row>
    <row r="1185">
      <c r="A1185" s="5"/>
    </row>
    <row r="1186">
      <c r="A1186" s="5"/>
    </row>
    <row r="1187">
      <c r="A1187" s="5"/>
    </row>
    <row r="1188">
      <c r="A1188" s="5"/>
    </row>
    <row r="1189">
      <c r="A1189" s="5"/>
    </row>
    <row r="1190">
      <c r="A1190" s="5"/>
    </row>
    <row r="1191">
      <c r="A1191" s="5"/>
    </row>
    <row r="1192">
      <c r="A1192" s="5"/>
    </row>
    <row r="1193">
      <c r="A1193" s="5"/>
    </row>
    <row r="1194">
      <c r="A1194" s="5"/>
    </row>
    <row r="1195">
      <c r="A1195" s="5"/>
    </row>
    <row r="1196">
      <c r="A1196" s="5"/>
    </row>
    <row r="1197">
      <c r="A1197" s="5"/>
    </row>
    <row r="1198">
      <c r="A1198" s="5"/>
    </row>
    <row r="1199">
      <c r="A1199" s="5"/>
    </row>
    <row r="1200">
      <c r="A1200" s="5"/>
    </row>
    <row r="1201">
      <c r="A1201" s="5"/>
    </row>
    <row r="1202">
      <c r="A1202" s="5"/>
    </row>
    <row r="1203">
      <c r="A1203" s="5"/>
    </row>
    <row r="1204">
      <c r="A1204" s="5"/>
    </row>
    <row r="1205">
      <c r="A1205" s="5"/>
    </row>
    <row r="1206">
      <c r="A1206" s="5"/>
    </row>
    <row r="1207">
      <c r="A1207" s="5"/>
    </row>
    <row r="1208">
      <c r="A1208" s="5"/>
    </row>
    <row r="1209">
      <c r="A1209" s="5"/>
    </row>
    <row r="1210">
      <c r="A1210" s="5"/>
    </row>
    <row r="1211">
      <c r="A1211" s="5"/>
    </row>
    <row r="1212">
      <c r="A1212" s="5"/>
    </row>
    <row r="1213">
      <c r="A1213" s="5"/>
    </row>
    <row r="1214">
      <c r="A1214" s="5"/>
    </row>
    <row r="1215">
      <c r="A1215" s="5"/>
    </row>
    <row r="1216">
      <c r="A1216" s="5"/>
    </row>
    <row r="1217">
      <c r="A1217" s="5"/>
    </row>
    <row r="1218">
      <c r="A1218" s="5"/>
    </row>
    <row r="1219">
      <c r="A1219" s="5"/>
    </row>
    <row r="1220">
      <c r="A1220" s="5"/>
    </row>
    <row r="1221">
      <c r="A1221" s="5"/>
    </row>
    <row r="1222">
      <c r="A1222" s="5"/>
    </row>
    <row r="1223">
      <c r="A1223" s="5"/>
    </row>
    <row r="1224">
      <c r="A1224" s="5"/>
    </row>
    <row r="1225">
      <c r="A1225" s="5"/>
    </row>
    <row r="1226">
      <c r="A1226" s="5"/>
    </row>
    <row r="1227">
      <c r="A1227" s="5"/>
    </row>
    <row r="1228">
      <c r="A1228" s="5"/>
    </row>
    <row r="1229">
      <c r="A1229" s="5"/>
    </row>
    <row r="1230">
      <c r="A1230" s="5"/>
    </row>
    <row r="1231">
      <c r="A1231" s="5"/>
    </row>
    <row r="1232">
      <c r="A1232" s="5"/>
    </row>
    <row r="1233">
      <c r="A1233" s="5"/>
    </row>
    <row r="1234">
      <c r="A1234" s="5"/>
    </row>
    <row r="1235">
      <c r="A1235" s="5"/>
    </row>
    <row r="1236">
      <c r="A1236" s="5"/>
    </row>
    <row r="1237">
      <c r="A1237" s="5"/>
    </row>
    <row r="1238">
      <c r="A1238" s="5"/>
    </row>
    <row r="1239">
      <c r="A1239" s="5"/>
    </row>
    <row r="1240">
      <c r="A1240" s="5"/>
    </row>
    <row r="1241">
      <c r="A1241" s="5"/>
    </row>
    <row r="1242">
      <c r="A1242" s="5"/>
    </row>
    <row r="1243">
      <c r="A1243" s="5"/>
    </row>
    <row r="1244">
      <c r="A1244" s="5"/>
    </row>
    <row r="1245">
      <c r="A1245" s="5"/>
    </row>
    <row r="1246">
      <c r="A1246" s="5"/>
    </row>
    <row r="1247">
      <c r="A1247" s="5"/>
    </row>
    <row r="1248">
      <c r="A1248" s="5"/>
    </row>
    <row r="1249">
      <c r="A1249" s="5"/>
    </row>
    <row r="1250">
      <c r="A1250" s="5"/>
    </row>
    <row r="1251">
      <c r="A1251" s="5"/>
    </row>
    <row r="1252">
      <c r="A1252" s="5"/>
    </row>
    <row r="1253">
      <c r="A1253" s="5"/>
    </row>
    <row r="1254">
      <c r="A1254" s="5"/>
    </row>
    <row r="1255">
      <c r="A1255" s="5"/>
    </row>
    <row r="1256">
      <c r="A1256" s="5"/>
    </row>
    <row r="1257">
      <c r="A1257" s="5"/>
    </row>
    <row r="1258">
      <c r="A1258" s="5"/>
    </row>
    <row r="1259">
      <c r="A1259" s="5"/>
    </row>
    <row r="1260">
      <c r="A1260" s="5"/>
    </row>
    <row r="1261">
      <c r="A1261" s="5"/>
    </row>
    <row r="1262">
      <c r="A1262" s="5"/>
    </row>
    <row r="1263">
      <c r="A1263" s="5"/>
    </row>
    <row r="1264">
      <c r="A1264" s="5"/>
    </row>
    <row r="1265">
      <c r="A1265" s="5"/>
    </row>
    <row r="1266">
      <c r="A1266" s="5"/>
    </row>
    <row r="1267">
      <c r="A1267" s="5"/>
    </row>
    <row r="1268">
      <c r="A1268" s="5"/>
    </row>
    <row r="1269">
      <c r="A1269" s="5"/>
    </row>
    <row r="1270">
      <c r="A1270" s="5"/>
    </row>
    <row r="1271">
      <c r="A1271" s="5"/>
    </row>
    <row r="1272">
      <c r="A1272" s="5"/>
    </row>
    <row r="1273">
      <c r="A1273" s="5"/>
    </row>
    <row r="1274">
      <c r="A1274" s="5"/>
    </row>
    <row r="1275">
      <c r="A1275" s="5"/>
    </row>
    <row r="1276">
      <c r="A1276" s="5"/>
    </row>
    <row r="1277">
      <c r="A1277" s="5"/>
    </row>
    <row r="1278">
      <c r="A1278" s="5"/>
    </row>
    <row r="1279">
      <c r="A1279" s="5"/>
    </row>
    <row r="1280">
      <c r="A1280" s="5"/>
    </row>
    <row r="1281">
      <c r="A1281" s="5"/>
    </row>
    <row r="1282">
      <c r="A1282" s="5"/>
    </row>
    <row r="1283">
      <c r="A1283" s="5"/>
    </row>
    <row r="1284">
      <c r="A1284" s="5"/>
    </row>
    <row r="1285">
      <c r="A1285" s="5"/>
    </row>
    <row r="1286">
      <c r="A1286" s="5"/>
    </row>
    <row r="1287">
      <c r="A1287" s="5"/>
    </row>
    <row r="1288">
      <c r="A1288" s="5"/>
    </row>
    <row r="1289">
      <c r="A1289" s="5"/>
    </row>
    <row r="1290">
      <c r="A1290" s="5"/>
    </row>
    <row r="1291">
      <c r="A1291" s="5"/>
    </row>
    <row r="1292">
      <c r="A1292" s="5"/>
    </row>
    <row r="1293">
      <c r="A1293" s="5"/>
    </row>
    <row r="1294">
      <c r="A1294" s="5"/>
    </row>
    <row r="1295">
      <c r="A1295" s="5"/>
    </row>
    <row r="1296">
      <c r="A1296" s="5"/>
    </row>
    <row r="1297">
      <c r="A1297" s="5"/>
    </row>
    <row r="1298">
      <c r="A1298" s="5"/>
    </row>
    <row r="1299">
      <c r="A1299" s="5"/>
    </row>
    <row r="1300">
      <c r="A1300" s="5"/>
    </row>
    <row r="1301">
      <c r="A1301" s="5"/>
    </row>
    <row r="1302">
      <c r="A1302" s="5"/>
    </row>
    <row r="1303">
      <c r="A1303" s="5"/>
    </row>
    <row r="1304">
      <c r="A1304" s="5"/>
    </row>
    <row r="1305">
      <c r="A1305" s="5"/>
    </row>
    <row r="1306">
      <c r="A1306" s="5"/>
    </row>
    <row r="1307">
      <c r="A1307" s="5"/>
    </row>
    <row r="1308">
      <c r="A1308" s="5"/>
    </row>
    <row r="1309">
      <c r="A1309" s="5"/>
    </row>
    <row r="1310">
      <c r="A1310" s="5"/>
    </row>
    <row r="1311">
      <c r="A1311" s="5"/>
    </row>
    <row r="1312">
      <c r="A1312" s="5"/>
    </row>
    <row r="1313">
      <c r="A1313" s="5"/>
    </row>
    <row r="1314">
      <c r="A1314" s="5"/>
    </row>
    <row r="1315">
      <c r="A1315" s="5"/>
    </row>
    <row r="1316">
      <c r="A1316" s="5"/>
    </row>
    <row r="1317">
      <c r="A1317" s="5"/>
    </row>
    <row r="1318">
      <c r="A1318" s="5"/>
    </row>
    <row r="1319">
      <c r="A1319" s="5"/>
    </row>
    <row r="1320">
      <c r="A1320" s="5"/>
    </row>
    <row r="1321">
      <c r="A1321" s="5"/>
    </row>
    <row r="1322">
      <c r="A1322" s="5"/>
    </row>
    <row r="1323">
      <c r="A1323" s="5"/>
    </row>
    <row r="1324">
      <c r="A1324" s="5"/>
    </row>
    <row r="1325">
      <c r="A1325" s="5"/>
    </row>
    <row r="1326">
      <c r="A1326" s="5"/>
    </row>
    <row r="1327">
      <c r="A1327" s="5"/>
    </row>
    <row r="1328">
      <c r="A1328" s="5"/>
    </row>
    <row r="1329">
      <c r="A1329" s="5"/>
    </row>
    <row r="1330">
      <c r="A1330" s="5"/>
    </row>
    <row r="1331">
      <c r="A1331" s="5"/>
    </row>
    <row r="1332">
      <c r="A1332" s="5"/>
    </row>
    <row r="1333">
      <c r="A1333" s="5"/>
    </row>
    <row r="1334">
      <c r="A1334" s="5"/>
    </row>
    <row r="1335">
      <c r="A1335" s="5"/>
    </row>
    <row r="1336">
      <c r="A1336" s="5"/>
    </row>
    <row r="1337">
      <c r="A1337" s="5"/>
    </row>
    <row r="1338">
      <c r="A1338" s="5"/>
    </row>
    <row r="1339">
      <c r="A1339" s="5"/>
    </row>
    <row r="1340">
      <c r="A1340" s="5"/>
    </row>
    <row r="1341">
      <c r="A1341" s="5"/>
    </row>
    <row r="1342">
      <c r="A1342" s="5"/>
    </row>
    <row r="1343">
      <c r="A1343" s="5"/>
    </row>
    <row r="1344">
      <c r="A1344" s="5"/>
    </row>
    <row r="1345">
      <c r="A1345" s="5"/>
    </row>
    <row r="1346">
      <c r="A1346" s="5"/>
    </row>
    <row r="1347">
      <c r="A1347" s="5"/>
    </row>
    <row r="1348">
      <c r="A1348" s="5"/>
    </row>
    <row r="1349">
      <c r="A1349" s="5"/>
    </row>
    <row r="1350">
      <c r="A1350" s="5"/>
    </row>
    <row r="1351">
      <c r="A1351" s="5"/>
    </row>
    <row r="1352">
      <c r="A1352" s="5"/>
    </row>
    <row r="1353">
      <c r="A1353" s="5"/>
    </row>
    <row r="1354">
      <c r="A1354" s="5"/>
    </row>
    <row r="1355">
      <c r="A1355" s="5"/>
    </row>
    <row r="1356">
      <c r="A1356" s="5"/>
    </row>
    <row r="1357">
      <c r="A1357" s="5"/>
    </row>
    <row r="1358">
      <c r="A1358" s="5"/>
    </row>
    <row r="1359">
      <c r="A1359" s="5"/>
    </row>
    <row r="1360">
      <c r="A1360" s="5"/>
    </row>
    <row r="1361">
      <c r="A1361" s="5"/>
    </row>
    <row r="1362">
      <c r="A1362" s="5"/>
    </row>
    <row r="1363">
      <c r="A1363" s="5"/>
    </row>
    <row r="1364">
      <c r="A1364" s="5"/>
    </row>
    <row r="1365">
      <c r="A1365" s="5"/>
    </row>
    <row r="1366">
      <c r="A1366" s="5"/>
    </row>
    <row r="1367">
      <c r="A1367" s="5"/>
    </row>
    <row r="1368">
      <c r="A1368" s="5"/>
    </row>
    <row r="1369">
      <c r="A1369" s="5"/>
    </row>
    <row r="1370">
      <c r="A1370" s="5"/>
    </row>
    <row r="1371">
      <c r="A1371" s="5"/>
    </row>
    <row r="1372">
      <c r="A1372" s="5"/>
    </row>
    <row r="1373">
      <c r="A1373" s="5"/>
    </row>
    <row r="1374">
      <c r="A1374" s="5"/>
    </row>
    <row r="1375">
      <c r="A1375" s="5"/>
    </row>
    <row r="1376">
      <c r="A1376" s="5"/>
    </row>
    <row r="1377">
      <c r="A1377" s="5"/>
    </row>
    <row r="1378">
      <c r="A1378" s="5"/>
    </row>
    <row r="1379">
      <c r="A1379" s="5"/>
    </row>
    <row r="1380">
      <c r="A1380" s="5"/>
    </row>
    <row r="1381">
      <c r="A1381" s="5"/>
    </row>
    <row r="1382">
      <c r="A1382" s="5"/>
    </row>
    <row r="1383">
      <c r="A1383" s="5"/>
    </row>
    <row r="1384">
      <c r="A1384" s="5"/>
    </row>
    <row r="1385">
      <c r="A1385" s="5"/>
    </row>
    <row r="1386">
      <c r="A1386" s="5"/>
    </row>
    <row r="1387">
      <c r="A1387" s="5"/>
    </row>
    <row r="1388">
      <c r="A1388" s="5"/>
    </row>
    <row r="1389">
      <c r="A1389" s="5"/>
    </row>
    <row r="1390">
      <c r="A1390" s="5"/>
    </row>
    <row r="1391">
      <c r="A1391" s="5"/>
    </row>
    <row r="1392">
      <c r="A1392" s="5"/>
    </row>
    <row r="1393">
      <c r="A1393" s="5"/>
    </row>
    <row r="1394">
      <c r="A1394" s="5"/>
    </row>
    <row r="1395">
      <c r="A1395" s="5"/>
    </row>
    <row r="1396">
      <c r="A1396" s="5"/>
    </row>
    <row r="1397">
      <c r="A1397" s="5"/>
    </row>
    <row r="1398">
      <c r="A1398" s="5"/>
    </row>
    <row r="1399">
      <c r="A1399" s="5"/>
    </row>
    <row r="1400">
      <c r="A1400" s="5"/>
    </row>
    <row r="1401">
      <c r="A1401" s="5"/>
    </row>
    <row r="1402">
      <c r="A1402" s="5"/>
    </row>
    <row r="1403">
      <c r="A1403" s="5"/>
    </row>
    <row r="1404">
      <c r="A1404" s="5"/>
    </row>
    <row r="1405">
      <c r="A1405" s="5"/>
    </row>
    <row r="1406">
      <c r="A1406" s="5"/>
    </row>
    <row r="1407">
      <c r="A1407" s="5"/>
    </row>
    <row r="1408">
      <c r="A1408" s="5"/>
    </row>
    <row r="1409">
      <c r="A1409" s="5"/>
    </row>
    <row r="1410">
      <c r="A1410" s="5"/>
    </row>
    <row r="1411">
      <c r="A1411" s="5"/>
    </row>
    <row r="1412">
      <c r="A1412" s="5"/>
    </row>
    <row r="1413">
      <c r="A1413" s="5"/>
    </row>
    <row r="1414">
      <c r="A1414" s="5"/>
    </row>
    <row r="1415">
      <c r="A1415" s="5"/>
    </row>
    <row r="1416">
      <c r="A1416" s="5"/>
    </row>
    <row r="1417">
      <c r="A1417" s="5"/>
    </row>
    <row r="1418">
      <c r="A1418" s="5"/>
    </row>
    <row r="1419">
      <c r="A1419" s="5"/>
    </row>
    <row r="1420">
      <c r="A1420" s="5"/>
    </row>
    <row r="1421">
      <c r="A1421" s="5"/>
    </row>
    <row r="1422">
      <c r="A1422" s="5"/>
    </row>
    <row r="1423">
      <c r="A1423" s="5"/>
    </row>
    <row r="1424">
      <c r="A1424" s="5"/>
    </row>
    <row r="1425">
      <c r="A1425" s="5"/>
    </row>
    <row r="1426">
      <c r="A1426" s="5"/>
    </row>
    <row r="1427">
      <c r="A1427" s="5"/>
    </row>
    <row r="1428">
      <c r="A1428" s="5"/>
    </row>
    <row r="1429">
      <c r="A1429" s="5"/>
    </row>
    <row r="1430">
      <c r="A1430" s="5"/>
    </row>
    <row r="1431">
      <c r="A1431" s="5"/>
    </row>
    <row r="1432">
      <c r="A1432" s="5"/>
    </row>
    <row r="1433">
      <c r="A1433" s="5"/>
    </row>
    <row r="1434">
      <c r="A1434" s="5"/>
    </row>
    <row r="1435">
      <c r="A1435" s="5"/>
    </row>
    <row r="1436">
      <c r="A1436" s="5"/>
    </row>
    <row r="1437">
      <c r="A1437" s="5"/>
    </row>
    <row r="1438">
      <c r="A1438" s="5"/>
    </row>
    <row r="1439">
      <c r="A1439" s="5"/>
    </row>
    <row r="1440">
      <c r="A1440" s="5"/>
    </row>
    <row r="1441">
      <c r="A1441" s="5"/>
    </row>
    <row r="1442">
      <c r="A1442" s="5"/>
    </row>
    <row r="1443">
      <c r="A1443" s="5"/>
    </row>
    <row r="1444">
      <c r="A1444" s="5"/>
    </row>
    <row r="1445">
      <c r="A1445" s="5"/>
    </row>
    <row r="1446">
      <c r="A1446" s="5"/>
    </row>
    <row r="1447">
      <c r="A1447" s="5"/>
    </row>
    <row r="1448">
      <c r="A1448" s="5"/>
    </row>
    <row r="1449">
      <c r="A1449" s="5"/>
    </row>
    <row r="1450">
      <c r="A1450" s="5"/>
    </row>
    <row r="1451">
      <c r="A1451" s="5"/>
    </row>
    <row r="1452">
      <c r="A1452" s="5"/>
    </row>
    <row r="1453">
      <c r="A1453" s="5"/>
    </row>
    <row r="1454">
      <c r="A1454" s="5"/>
    </row>
    <row r="1455">
      <c r="A1455" s="5"/>
    </row>
    <row r="1456">
      <c r="A1456" s="5"/>
    </row>
    <row r="1457">
      <c r="A1457" s="5"/>
    </row>
    <row r="1458">
      <c r="A1458" s="5"/>
    </row>
    <row r="1459">
      <c r="A1459" s="5"/>
    </row>
    <row r="1460">
      <c r="A1460" s="5"/>
    </row>
    <row r="1461">
      <c r="A1461" s="5"/>
    </row>
    <row r="1462">
      <c r="A1462" s="5"/>
    </row>
    <row r="1463">
      <c r="A1463" s="5"/>
    </row>
    <row r="1464">
      <c r="A1464" s="5"/>
    </row>
    <row r="1465">
      <c r="A1465" s="5"/>
    </row>
    <row r="1466">
      <c r="A1466" s="5"/>
    </row>
    <row r="1467">
      <c r="A1467" s="5"/>
    </row>
    <row r="1468">
      <c r="A1468" s="5"/>
    </row>
    <row r="1469">
      <c r="A1469" s="5"/>
    </row>
    <row r="1470">
      <c r="A1470" s="5"/>
    </row>
    <row r="1471">
      <c r="A1471" s="5"/>
    </row>
    <row r="1472">
      <c r="A1472" s="5"/>
    </row>
    <row r="1473">
      <c r="A1473" s="5"/>
    </row>
    <row r="1474">
      <c r="A1474" s="5"/>
    </row>
    <row r="1475">
      <c r="A1475" s="5"/>
    </row>
    <row r="1476">
      <c r="A1476" s="5"/>
    </row>
    <row r="1477">
      <c r="A1477" s="5"/>
    </row>
    <row r="1478">
      <c r="A1478" s="5"/>
    </row>
    <row r="1479">
      <c r="A1479" s="5"/>
    </row>
    <row r="1480">
      <c r="A1480" s="5"/>
    </row>
    <row r="1481">
      <c r="A1481" s="5"/>
    </row>
    <row r="1482">
      <c r="A1482" s="5"/>
    </row>
    <row r="1483">
      <c r="A1483" s="5"/>
    </row>
    <row r="1484">
      <c r="A1484" s="5"/>
    </row>
    <row r="1485">
      <c r="A1485" s="5"/>
    </row>
    <row r="1486">
      <c r="A1486" s="5"/>
    </row>
    <row r="1487">
      <c r="A1487" s="5"/>
    </row>
    <row r="1488">
      <c r="A1488" s="5"/>
    </row>
    <row r="1489">
      <c r="A1489" s="5"/>
    </row>
    <row r="1490">
      <c r="A1490" s="5"/>
    </row>
    <row r="1491">
      <c r="A1491" s="5"/>
    </row>
    <row r="1492">
      <c r="A1492" s="5"/>
    </row>
    <row r="1493">
      <c r="A1493" s="5"/>
    </row>
    <row r="1494">
      <c r="A1494" s="5"/>
    </row>
    <row r="1495">
      <c r="A1495" s="5"/>
    </row>
    <row r="1496">
      <c r="A1496" s="5"/>
    </row>
    <row r="1497">
      <c r="A1497" s="5"/>
    </row>
    <row r="1498">
      <c r="A1498" s="5"/>
    </row>
    <row r="1499">
      <c r="A1499" s="5"/>
    </row>
    <row r="1500">
      <c r="A1500" s="5"/>
    </row>
    <row r="1501">
      <c r="A1501" s="5"/>
    </row>
    <row r="1502">
      <c r="A1502" s="5"/>
    </row>
    <row r="1503">
      <c r="A1503" s="5"/>
    </row>
    <row r="1504">
      <c r="A1504" s="5"/>
    </row>
    <row r="1505">
      <c r="A1505" s="5"/>
    </row>
    <row r="1506">
      <c r="A1506" s="5"/>
    </row>
    <row r="1507">
      <c r="A1507" s="5"/>
    </row>
    <row r="1508">
      <c r="A1508" s="5"/>
    </row>
    <row r="1509">
      <c r="A1509" s="5"/>
    </row>
    <row r="1510">
      <c r="A1510" s="5"/>
    </row>
    <row r="1511">
      <c r="A1511" s="5"/>
    </row>
    <row r="1512">
      <c r="A1512" s="5"/>
    </row>
    <row r="1513">
      <c r="A1513" s="5"/>
    </row>
    <row r="1514">
      <c r="A1514" s="5"/>
    </row>
    <row r="1515">
      <c r="A1515" s="5"/>
    </row>
    <row r="1516">
      <c r="A1516" s="5"/>
    </row>
    <row r="1517">
      <c r="A1517" s="5"/>
    </row>
    <row r="1518">
      <c r="A1518" s="5"/>
    </row>
    <row r="1519">
      <c r="A1519" s="5"/>
    </row>
    <row r="1520">
      <c r="A1520" s="5"/>
    </row>
    <row r="1521">
      <c r="A1521" s="5"/>
    </row>
    <row r="1522">
      <c r="A1522" s="5"/>
    </row>
    <row r="1523">
      <c r="A1523" s="5"/>
    </row>
    <row r="1524">
      <c r="A1524" s="5"/>
    </row>
    <row r="1525">
      <c r="A1525" s="5"/>
    </row>
    <row r="1526">
      <c r="A1526" s="5"/>
    </row>
    <row r="1527">
      <c r="A1527" s="5"/>
    </row>
    <row r="1528">
      <c r="A1528" s="5"/>
    </row>
    <row r="1529">
      <c r="A1529" s="5"/>
    </row>
    <row r="1530">
      <c r="A1530" s="5"/>
    </row>
    <row r="1531">
      <c r="A1531" s="5"/>
    </row>
    <row r="1532">
      <c r="A1532" s="5"/>
    </row>
    <row r="1533">
      <c r="A1533" s="5"/>
    </row>
    <row r="1534">
      <c r="A1534" s="5"/>
    </row>
    <row r="1535">
      <c r="A1535" s="5"/>
    </row>
    <row r="1536">
      <c r="A1536" s="5"/>
    </row>
    <row r="1537">
      <c r="A1537" s="5"/>
    </row>
    <row r="1538">
      <c r="A1538" s="5"/>
    </row>
    <row r="1539">
      <c r="A1539" s="5"/>
    </row>
    <row r="1540">
      <c r="A1540" s="5"/>
    </row>
    <row r="1541">
      <c r="A1541" s="5"/>
    </row>
    <row r="1542">
      <c r="A1542" s="5"/>
    </row>
    <row r="1543">
      <c r="A1543" s="5"/>
    </row>
    <row r="1544">
      <c r="A1544" s="5"/>
    </row>
    <row r="1545">
      <c r="A1545" s="5"/>
    </row>
    <row r="1546">
      <c r="A1546" s="5"/>
    </row>
    <row r="1547">
      <c r="A1547" s="5"/>
    </row>
    <row r="1548">
      <c r="A1548" s="5"/>
    </row>
    <row r="1549">
      <c r="A1549" s="5"/>
    </row>
    <row r="1550">
      <c r="A1550" s="5"/>
    </row>
    <row r="1551">
      <c r="A1551" s="5"/>
    </row>
    <row r="1552">
      <c r="A1552" s="5"/>
    </row>
    <row r="1553">
      <c r="A1553" s="5"/>
    </row>
    <row r="1554">
      <c r="A1554" s="5"/>
    </row>
    <row r="1555">
      <c r="A1555" s="5"/>
    </row>
    <row r="1556">
      <c r="A1556" s="5"/>
    </row>
    <row r="1557">
      <c r="A1557" s="5"/>
    </row>
    <row r="1558">
      <c r="A1558" s="5"/>
    </row>
    <row r="1559">
      <c r="A1559" s="5"/>
    </row>
    <row r="1560">
      <c r="A1560" s="5"/>
    </row>
    <row r="1561">
      <c r="A1561" s="5"/>
    </row>
    <row r="1562">
      <c r="A1562" s="5"/>
    </row>
    <row r="1563">
      <c r="A1563" s="5"/>
    </row>
    <row r="1564">
      <c r="A1564" s="5"/>
    </row>
    <row r="1565">
      <c r="A1565" s="5"/>
    </row>
    <row r="1566">
      <c r="A1566" s="5"/>
    </row>
    <row r="1567">
      <c r="A1567" s="5"/>
    </row>
    <row r="1568">
      <c r="A1568" s="5"/>
    </row>
    <row r="1569">
      <c r="A1569" s="5"/>
    </row>
    <row r="1570">
      <c r="A1570" s="5"/>
    </row>
    <row r="1571">
      <c r="A1571" s="5"/>
    </row>
    <row r="1572">
      <c r="A1572" s="5"/>
    </row>
    <row r="1573">
      <c r="A1573" s="5"/>
    </row>
    <row r="1574">
      <c r="A1574" s="5"/>
    </row>
    <row r="1575">
      <c r="A1575" s="5"/>
    </row>
    <row r="1576">
      <c r="A1576" s="5"/>
    </row>
    <row r="1577">
      <c r="A1577" s="5"/>
    </row>
    <row r="1578">
      <c r="A1578" s="5"/>
    </row>
    <row r="1579">
      <c r="A1579" s="5"/>
    </row>
    <row r="1580">
      <c r="A1580" s="5"/>
    </row>
    <row r="1581">
      <c r="A1581" s="5"/>
    </row>
    <row r="1582">
      <c r="A1582" s="5"/>
    </row>
    <row r="1583">
      <c r="A1583" s="5"/>
    </row>
    <row r="1584">
      <c r="A1584" s="5"/>
    </row>
    <row r="1585">
      <c r="A1585" s="5"/>
    </row>
    <row r="1586">
      <c r="A1586" s="5"/>
    </row>
    <row r="1587">
      <c r="A1587" s="5"/>
    </row>
    <row r="1588">
      <c r="A1588" s="5"/>
    </row>
    <row r="1589">
      <c r="A1589" s="5"/>
    </row>
    <row r="1590">
      <c r="A1590" s="5"/>
    </row>
    <row r="1591">
      <c r="A1591" s="5"/>
    </row>
    <row r="1592">
      <c r="A1592" s="5"/>
    </row>
    <row r="1593">
      <c r="A1593" s="5"/>
    </row>
    <row r="1594">
      <c r="A1594" s="5"/>
    </row>
    <row r="1595">
      <c r="A1595" s="5"/>
    </row>
    <row r="1596">
      <c r="A1596" s="5"/>
    </row>
    <row r="1597">
      <c r="A1597" s="5"/>
    </row>
    <row r="1598">
      <c r="A1598" s="5"/>
    </row>
    <row r="1599">
      <c r="A1599" s="5"/>
    </row>
    <row r="1600">
      <c r="A1600" s="5"/>
    </row>
    <row r="1601">
      <c r="A1601" s="5"/>
    </row>
    <row r="1602">
      <c r="A1602" s="5"/>
    </row>
    <row r="1603">
      <c r="A1603" s="5"/>
    </row>
    <row r="1604">
      <c r="A1604" s="5"/>
    </row>
    <row r="1605">
      <c r="A1605" s="5"/>
    </row>
    <row r="1606">
      <c r="A1606" s="5"/>
    </row>
    <row r="1607">
      <c r="A1607" s="5"/>
    </row>
    <row r="1608">
      <c r="A1608" s="5"/>
    </row>
    <row r="1609">
      <c r="A1609" s="5"/>
    </row>
    <row r="1610">
      <c r="A1610" s="5"/>
    </row>
    <row r="1611">
      <c r="A1611" s="5"/>
    </row>
    <row r="1612">
      <c r="A1612" s="5"/>
    </row>
    <row r="1613">
      <c r="A1613" s="5"/>
    </row>
    <row r="1614">
      <c r="A1614" s="5"/>
    </row>
    <row r="1615">
      <c r="A1615" s="5"/>
    </row>
    <row r="1616">
      <c r="A1616" s="5"/>
    </row>
    <row r="1617">
      <c r="A1617" s="5"/>
    </row>
    <row r="1618">
      <c r="A1618" s="5"/>
    </row>
    <row r="1619">
      <c r="A1619" s="5"/>
    </row>
    <row r="1620">
      <c r="A1620" s="5"/>
    </row>
    <row r="1621">
      <c r="A1621" s="5"/>
    </row>
    <row r="1622">
      <c r="A1622" s="5"/>
    </row>
    <row r="1623">
      <c r="A1623" s="5"/>
    </row>
    <row r="1624">
      <c r="A1624" s="5"/>
    </row>
    <row r="1625">
      <c r="A1625" s="5"/>
    </row>
    <row r="1626">
      <c r="A1626" s="5"/>
    </row>
    <row r="1627">
      <c r="A1627" s="5"/>
    </row>
    <row r="1628">
      <c r="A1628" s="5"/>
    </row>
    <row r="1629">
      <c r="A1629" s="5"/>
    </row>
    <row r="1630">
      <c r="A1630" s="5"/>
    </row>
    <row r="1631">
      <c r="A1631" s="5"/>
    </row>
    <row r="1632">
      <c r="A1632" s="5"/>
    </row>
    <row r="1633">
      <c r="A1633" s="5"/>
    </row>
    <row r="1634">
      <c r="A1634" s="5"/>
    </row>
    <row r="1635">
      <c r="A1635" s="5"/>
    </row>
    <row r="1636">
      <c r="A1636" s="5"/>
    </row>
    <row r="1637">
      <c r="A1637" s="5"/>
    </row>
    <row r="1638">
      <c r="A1638" s="5"/>
    </row>
    <row r="1639">
      <c r="A1639" s="5"/>
    </row>
    <row r="1640">
      <c r="A1640" s="5"/>
    </row>
    <row r="1641">
      <c r="A1641" s="5"/>
    </row>
    <row r="1642">
      <c r="A1642" s="5"/>
    </row>
    <row r="1643">
      <c r="A1643" s="5"/>
    </row>
    <row r="1644">
      <c r="A1644" s="5"/>
    </row>
    <row r="1645">
      <c r="A1645" s="5"/>
    </row>
    <row r="1646">
      <c r="A1646" s="5"/>
    </row>
    <row r="1647">
      <c r="A1647" s="5"/>
    </row>
    <row r="1648">
      <c r="A1648" s="5"/>
    </row>
    <row r="1649">
      <c r="A1649" s="5"/>
    </row>
    <row r="1650">
      <c r="A1650" s="5"/>
    </row>
    <row r="1651">
      <c r="A1651" s="5"/>
    </row>
    <row r="1652">
      <c r="A1652" s="5"/>
    </row>
    <row r="1653">
      <c r="A1653" s="5"/>
    </row>
    <row r="1654">
      <c r="A1654" s="5"/>
    </row>
    <row r="1655">
      <c r="A1655" s="5"/>
    </row>
    <row r="1656">
      <c r="A1656" s="5"/>
    </row>
    <row r="1657">
      <c r="A1657" s="5"/>
    </row>
    <row r="1658">
      <c r="A1658" s="5"/>
    </row>
    <row r="1659">
      <c r="A1659" s="5"/>
    </row>
    <row r="1660">
      <c r="A1660" s="5"/>
    </row>
    <row r="1661">
      <c r="A1661" s="5"/>
    </row>
    <row r="1662">
      <c r="A1662" s="5"/>
    </row>
    <row r="1663">
      <c r="A1663" s="5"/>
    </row>
    <row r="1664">
      <c r="A1664" s="5"/>
    </row>
    <row r="1665">
      <c r="A1665" s="5"/>
    </row>
    <row r="1666">
      <c r="A1666" s="5"/>
    </row>
    <row r="1667">
      <c r="A1667" s="5"/>
    </row>
    <row r="1668">
      <c r="A1668" s="5"/>
    </row>
    <row r="1669">
      <c r="A1669" s="5"/>
    </row>
    <row r="1670">
      <c r="A1670" s="5"/>
    </row>
    <row r="1671">
      <c r="A1671" s="5"/>
    </row>
    <row r="1672">
      <c r="A1672" s="5"/>
    </row>
    <row r="1673">
      <c r="A1673" s="5"/>
    </row>
    <row r="1674">
      <c r="A1674" s="5"/>
    </row>
    <row r="1675">
      <c r="A1675" s="5"/>
    </row>
    <row r="1676">
      <c r="A1676" s="5"/>
    </row>
    <row r="1677">
      <c r="A1677" s="5"/>
    </row>
    <row r="1678">
      <c r="A1678" s="5"/>
    </row>
    <row r="1679">
      <c r="A1679" s="5"/>
    </row>
    <row r="1680">
      <c r="A1680" s="5"/>
    </row>
    <row r="1681">
      <c r="A1681" s="5"/>
    </row>
    <row r="1682">
      <c r="A1682" s="5"/>
    </row>
    <row r="1683">
      <c r="A1683" s="5"/>
    </row>
    <row r="1684">
      <c r="A1684" s="5"/>
    </row>
    <row r="1685">
      <c r="A1685" s="5"/>
    </row>
    <row r="1686">
      <c r="A1686" s="5"/>
    </row>
    <row r="1687">
      <c r="A1687" s="5"/>
    </row>
    <row r="1688">
      <c r="A1688" s="5"/>
    </row>
    <row r="1689">
      <c r="A1689" s="5"/>
    </row>
    <row r="1690">
      <c r="A1690" s="5"/>
    </row>
    <row r="1691">
      <c r="A1691" s="5"/>
    </row>
    <row r="1692">
      <c r="A1692" s="5"/>
    </row>
    <row r="1693">
      <c r="A1693" s="5"/>
    </row>
    <row r="1694">
      <c r="A1694" s="5"/>
    </row>
    <row r="1695">
      <c r="A1695" s="5"/>
    </row>
    <row r="1696">
      <c r="A1696" s="5"/>
    </row>
    <row r="1697">
      <c r="A1697" s="5"/>
    </row>
    <row r="1698">
      <c r="A1698" s="5"/>
    </row>
    <row r="1699">
      <c r="A1699" s="5"/>
    </row>
    <row r="1700">
      <c r="A1700" s="5"/>
    </row>
    <row r="1701">
      <c r="A1701" s="5"/>
    </row>
    <row r="1702">
      <c r="A1702" s="5"/>
    </row>
    <row r="1703">
      <c r="A1703" s="5"/>
    </row>
    <row r="1704">
      <c r="A1704" s="5"/>
    </row>
    <row r="1705">
      <c r="A1705" s="5"/>
    </row>
    <row r="1706">
      <c r="A1706" s="5"/>
    </row>
    <row r="1707">
      <c r="A1707" s="5"/>
    </row>
    <row r="1708">
      <c r="A1708" s="5"/>
    </row>
    <row r="1709">
      <c r="A1709" s="5"/>
    </row>
    <row r="1710">
      <c r="A1710" s="5"/>
    </row>
    <row r="1711">
      <c r="A1711" s="5"/>
    </row>
    <row r="1712">
      <c r="A1712" s="5"/>
    </row>
    <row r="1713">
      <c r="A1713" s="5"/>
    </row>
    <row r="1714">
      <c r="A1714" s="5"/>
    </row>
    <row r="1715">
      <c r="A1715" s="5"/>
    </row>
    <row r="1716">
      <c r="A1716" s="5"/>
    </row>
    <row r="1717">
      <c r="A1717" s="5"/>
    </row>
    <row r="1718">
      <c r="A1718" s="5"/>
    </row>
    <row r="1719">
      <c r="A1719" s="5"/>
    </row>
    <row r="1720">
      <c r="A1720" s="5"/>
    </row>
    <row r="1721">
      <c r="A1721" s="5"/>
    </row>
    <row r="1722">
      <c r="A1722" s="5"/>
    </row>
    <row r="1723">
      <c r="A1723" s="5"/>
    </row>
    <row r="1724">
      <c r="A1724" s="5"/>
    </row>
    <row r="1725">
      <c r="A1725" s="5"/>
    </row>
    <row r="1726">
      <c r="A1726" s="5"/>
    </row>
    <row r="1727">
      <c r="A1727" s="5"/>
    </row>
    <row r="1728">
      <c r="A1728" s="5"/>
    </row>
    <row r="1729">
      <c r="A1729" s="5"/>
    </row>
    <row r="1730">
      <c r="A1730" s="5"/>
    </row>
    <row r="1731">
      <c r="A1731" s="5"/>
    </row>
    <row r="1732">
      <c r="A1732" s="5"/>
    </row>
    <row r="1733">
      <c r="A1733" s="5"/>
    </row>
    <row r="1734">
      <c r="A1734" s="5"/>
    </row>
    <row r="1735">
      <c r="A1735" s="5"/>
    </row>
    <row r="1736">
      <c r="A1736" s="5"/>
    </row>
    <row r="1737">
      <c r="A1737" s="5"/>
    </row>
    <row r="1738">
      <c r="A1738" s="5"/>
    </row>
    <row r="1739">
      <c r="A1739" s="5"/>
    </row>
    <row r="1740">
      <c r="A1740" s="5"/>
    </row>
    <row r="1741">
      <c r="A1741" s="5"/>
    </row>
    <row r="1742">
      <c r="A1742" s="5"/>
    </row>
    <row r="1743">
      <c r="A1743" s="5"/>
    </row>
    <row r="1744">
      <c r="A1744" s="5"/>
    </row>
    <row r="1745">
      <c r="A1745" s="5"/>
    </row>
    <row r="1746">
      <c r="A1746" s="5"/>
    </row>
    <row r="1747">
      <c r="A1747" s="5"/>
    </row>
    <row r="1748">
      <c r="A1748" s="5"/>
    </row>
    <row r="1749">
      <c r="A1749" s="5"/>
    </row>
    <row r="1750">
      <c r="A1750" s="5"/>
    </row>
    <row r="1751">
      <c r="A1751" s="5"/>
    </row>
    <row r="1752">
      <c r="A1752" s="5"/>
    </row>
    <row r="1753">
      <c r="A1753" s="5"/>
    </row>
    <row r="1754">
      <c r="A1754" s="5"/>
    </row>
    <row r="1755">
      <c r="A1755" s="5"/>
    </row>
    <row r="1756">
      <c r="A1756" s="5"/>
    </row>
    <row r="1757">
      <c r="A1757" s="5"/>
    </row>
    <row r="1758">
      <c r="A1758" s="5"/>
    </row>
    <row r="1759">
      <c r="A1759" s="5"/>
    </row>
    <row r="1760">
      <c r="A1760" s="5"/>
    </row>
    <row r="1761">
      <c r="A1761" s="5"/>
    </row>
    <row r="1762">
      <c r="A1762" s="5"/>
    </row>
    <row r="1763">
      <c r="A1763" s="5"/>
    </row>
    <row r="1764">
      <c r="A1764" s="5"/>
    </row>
    <row r="1765">
      <c r="A1765" s="5"/>
    </row>
    <row r="1766">
      <c r="A1766" s="5"/>
    </row>
    <row r="1767">
      <c r="A1767" s="5"/>
    </row>
    <row r="1768">
      <c r="A1768" s="5"/>
    </row>
    <row r="1769">
      <c r="A1769" s="5"/>
    </row>
    <row r="1770">
      <c r="A1770" s="5"/>
    </row>
    <row r="1771">
      <c r="A1771" s="5"/>
    </row>
    <row r="1772">
      <c r="A1772" s="5"/>
    </row>
    <row r="1773">
      <c r="A1773" s="5"/>
    </row>
    <row r="1774">
      <c r="A1774" s="5"/>
    </row>
    <row r="1775">
      <c r="A1775" s="5"/>
    </row>
    <row r="1776">
      <c r="A1776" s="5"/>
    </row>
    <row r="1777">
      <c r="A1777" s="5"/>
    </row>
    <row r="1778">
      <c r="A1778" s="5"/>
    </row>
    <row r="1779">
      <c r="A1779" s="5"/>
    </row>
    <row r="1780">
      <c r="A1780" s="5"/>
    </row>
    <row r="1781">
      <c r="A1781" s="5"/>
    </row>
    <row r="1782">
      <c r="A1782" s="5"/>
    </row>
    <row r="1783">
      <c r="A1783" s="5"/>
    </row>
    <row r="1784">
      <c r="A1784" s="5"/>
    </row>
    <row r="1785">
      <c r="A1785" s="5"/>
    </row>
    <row r="1786">
      <c r="A1786" s="5"/>
    </row>
    <row r="1787">
      <c r="A1787" s="5"/>
    </row>
    <row r="1788">
      <c r="A1788" s="5"/>
    </row>
    <row r="1789">
      <c r="A1789" s="5"/>
    </row>
    <row r="1790">
      <c r="A1790" s="5"/>
    </row>
    <row r="1791">
      <c r="A1791" s="5"/>
    </row>
    <row r="1792">
      <c r="A1792" s="5"/>
    </row>
    <row r="1793">
      <c r="A1793" s="5"/>
    </row>
    <row r="1794">
      <c r="A1794" s="5"/>
    </row>
    <row r="1795">
      <c r="A1795" s="5"/>
    </row>
    <row r="1796">
      <c r="A1796" s="5"/>
    </row>
    <row r="1797">
      <c r="A1797" s="5"/>
    </row>
    <row r="1798">
      <c r="A1798" s="5"/>
    </row>
    <row r="1799">
      <c r="A1799" s="5"/>
    </row>
    <row r="1800">
      <c r="A1800" s="5"/>
    </row>
    <row r="1801">
      <c r="A1801" s="5"/>
    </row>
    <row r="1802">
      <c r="A1802" s="5"/>
    </row>
    <row r="1803">
      <c r="A1803" s="5"/>
    </row>
    <row r="1804">
      <c r="A1804" s="5"/>
    </row>
    <row r="1805">
      <c r="A1805" s="5"/>
    </row>
    <row r="1806">
      <c r="A1806" s="5"/>
    </row>
    <row r="1807">
      <c r="A1807" s="5"/>
    </row>
    <row r="1808">
      <c r="A1808" s="5"/>
    </row>
    <row r="1809">
      <c r="A1809" s="5"/>
    </row>
    <row r="1810">
      <c r="A1810" s="5"/>
    </row>
    <row r="1811">
      <c r="A1811" s="5"/>
    </row>
    <row r="1812">
      <c r="A1812" s="5"/>
    </row>
    <row r="1813">
      <c r="A1813" s="5"/>
    </row>
    <row r="1814">
      <c r="A1814" s="5"/>
    </row>
    <row r="1815">
      <c r="A1815" s="5"/>
    </row>
    <row r="1816">
      <c r="A1816" s="5"/>
    </row>
    <row r="1817">
      <c r="A1817" s="5"/>
    </row>
    <row r="1818">
      <c r="A1818" s="5"/>
    </row>
    <row r="1819">
      <c r="A1819" s="5"/>
    </row>
    <row r="1820">
      <c r="A1820" s="5"/>
    </row>
    <row r="1821">
      <c r="A1821" s="5"/>
    </row>
    <row r="1822">
      <c r="A1822" s="5"/>
    </row>
    <row r="1823">
      <c r="A1823" s="5"/>
    </row>
    <row r="1824">
      <c r="A1824" s="5"/>
    </row>
    <row r="1825">
      <c r="A1825" s="5"/>
    </row>
    <row r="1826">
      <c r="A1826" s="5"/>
    </row>
    <row r="1827">
      <c r="A1827" s="5"/>
    </row>
    <row r="1828">
      <c r="A1828" s="5"/>
    </row>
    <row r="1829">
      <c r="A1829" s="5"/>
    </row>
    <row r="1830">
      <c r="A1830" s="5"/>
    </row>
    <row r="1831">
      <c r="A1831" s="5"/>
    </row>
    <row r="1832">
      <c r="A1832" s="5"/>
    </row>
    <row r="1833">
      <c r="A1833" s="5"/>
    </row>
    <row r="1834">
      <c r="A1834" s="5"/>
    </row>
    <row r="1835">
      <c r="A1835" s="5"/>
    </row>
    <row r="1836">
      <c r="A1836" s="5"/>
    </row>
    <row r="1837">
      <c r="A1837" s="5"/>
    </row>
    <row r="1838">
      <c r="A1838" s="5"/>
    </row>
    <row r="1839">
      <c r="A1839" s="5"/>
    </row>
    <row r="1840">
      <c r="A1840" s="5"/>
    </row>
    <row r="1841">
      <c r="A1841" s="5"/>
    </row>
    <row r="1842">
      <c r="A1842" s="5"/>
    </row>
    <row r="1843">
      <c r="A1843" s="5"/>
    </row>
    <row r="1844">
      <c r="A1844" s="5"/>
    </row>
    <row r="1845">
      <c r="A1845" s="5"/>
    </row>
    <row r="1846">
      <c r="A1846" s="5"/>
    </row>
    <row r="1847">
      <c r="A1847" s="5"/>
    </row>
    <row r="1848">
      <c r="A1848" s="5"/>
    </row>
    <row r="1849">
      <c r="A1849" s="5"/>
    </row>
    <row r="1850">
      <c r="A1850" s="5"/>
    </row>
    <row r="1851">
      <c r="A1851" s="5"/>
    </row>
    <row r="1852">
      <c r="A1852" s="5"/>
    </row>
    <row r="1853">
      <c r="A1853" s="5"/>
    </row>
    <row r="1854">
      <c r="A1854" s="5"/>
    </row>
    <row r="1855">
      <c r="A1855" s="5"/>
    </row>
    <row r="1856">
      <c r="A1856" s="5"/>
    </row>
    <row r="1857">
      <c r="A1857" s="5"/>
    </row>
    <row r="1858">
      <c r="A1858" s="5"/>
    </row>
    <row r="1859">
      <c r="A1859" s="5"/>
    </row>
    <row r="1860">
      <c r="A1860" s="5"/>
    </row>
    <row r="1861">
      <c r="A1861" s="5"/>
    </row>
    <row r="1862">
      <c r="A1862" s="5"/>
    </row>
    <row r="1863">
      <c r="A1863" s="5"/>
    </row>
    <row r="1864">
      <c r="A1864" s="5"/>
    </row>
    <row r="1865">
      <c r="A1865" s="5"/>
    </row>
    <row r="1866">
      <c r="A1866" s="5"/>
    </row>
    <row r="1867">
      <c r="A1867" s="5"/>
    </row>
    <row r="1868">
      <c r="A1868" s="5"/>
    </row>
    <row r="1869">
      <c r="A1869" s="5"/>
    </row>
    <row r="1870">
      <c r="A1870" s="5"/>
    </row>
    <row r="1871">
      <c r="A1871" s="5"/>
    </row>
    <row r="1872">
      <c r="A1872" s="5"/>
    </row>
    <row r="1873">
      <c r="A1873" s="5"/>
    </row>
    <row r="1874">
      <c r="A1874" s="5"/>
    </row>
    <row r="1875">
      <c r="A1875" s="5"/>
    </row>
    <row r="1876">
      <c r="A1876" s="5"/>
    </row>
    <row r="1877">
      <c r="A1877" s="5"/>
    </row>
    <row r="1878">
      <c r="A1878" s="5"/>
    </row>
    <row r="1879">
      <c r="A1879" s="5"/>
    </row>
    <row r="1880">
      <c r="A1880" s="5"/>
    </row>
    <row r="1881">
      <c r="A1881" s="5"/>
    </row>
    <row r="1882">
      <c r="A1882" s="5"/>
    </row>
    <row r="1883">
      <c r="A1883" s="5"/>
    </row>
    <row r="1884">
      <c r="A1884" s="5"/>
    </row>
    <row r="1885">
      <c r="A1885" s="5"/>
    </row>
    <row r="1886">
      <c r="A1886" s="5"/>
    </row>
    <row r="1887">
      <c r="A1887" s="5"/>
    </row>
    <row r="1888">
      <c r="A1888" s="5"/>
    </row>
    <row r="1889">
      <c r="A1889" s="5"/>
    </row>
    <row r="1890">
      <c r="A1890" s="5"/>
    </row>
    <row r="1891">
      <c r="A1891" s="5"/>
    </row>
    <row r="1892">
      <c r="A1892" s="5"/>
    </row>
    <row r="1893">
      <c r="A1893" s="5"/>
    </row>
    <row r="1894">
      <c r="A1894" s="5"/>
    </row>
    <row r="1895">
      <c r="A1895" s="5"/>
    </row>
    <row r="1896">
      <c r="A1896" s="5"/>
    </row>
    <row r="1897">
      <c r="A1897" s="5"/>
    </row>
    <row r="1898">
      <c r="A1898" s="5"/>
    </row>
    <row r="1899">
      <c r="A1899" s="5"/>
    </row>
    <row r="1900">
      <c r="A1900" s="5"/>
    </row>
    <row r="1901">
      <c r="A1901" s="5"/>
    </row>
    <row r="1902">
      <c r="A1902" s="5"/>
    </row>
    <row r="1903">
      <c r="A1903" s="5"/>
    </row>
    <row r="1904">
      <c r="A1904" s="5"/>
    </row>
    <row r="1905">
      <c r="A1905" s="5"/>
    </row>
    <row r="1906">
      <c r="A1906" s="5"/>
    </row>
    <row r="1907">
      <c r="A1907" s="5"/>
    </row>
    <row r="1908">
      <c r="A1908" s="5"/>
    </row>
    <row r="1909">
      <c r="A1909" s="5"/>
    </row>
    <row r="1910">
      <c r="A1910" s="5"/>
    </row>
    <row r="1911">
      <c r="A1911" s="5"/>
    </row>
    <row r="1912">
      <c r="A1912" s="5"/>
    </row>
    <row r="1913">
      <c r="A1913" s="5"/>
    </row>
    <row r="1914">
      <c r="A1914" s="5"/>
    </row>
    <row r="1915">
      <c r="A1915" s="5"/>
    </row>
    <row r="1916">
      <c r="A1916" s="5"/>
    </row>
    <row r="1917">
      <c r="A1917" s="5"/>
    </row>
    <row r="1918">
      <c r="A1918" s="5"/>
    </row>
    <row r="1919">
      <c r="A1919" s="5"/>
    </row>
    <row r="1920">
      <c r="A1920" s="5"/>
    </row>
    <row r="1921">
      <c r="A1921" s="5"/>
    </row>
    <row r="1922">
      <c r="A1922" s="5"/>
    </row>
    <row r="1923">
      <c r="A1923" s="5"/>
    </row>
    <row r="1924">
      <c r="A1924" s="5"/>
    </row>
    <row r="1925">
      <c r="A1925" s="5"/>
    </row>
    <row r="1926">
      <c r="A1926" s="5"/>
    </row>
    <row r="1927">
      <c r="A1927" s="5"/>
    </row>
    <row r="1928">
      <c r="A1928" s="5"/>
    </row>
    <row r="1929">
      <c r="A1929" s="5"/>
    </row>
    <row r="1930">
      <c r="A1930" s="5"/>
    </row>
    <row r="1931">
      <c r="A1931" s="5"/>
    </row>
    <row r="1932">
      <c r="A1932" s="5"/>
    </row>
    <row r="1933">
      <c r="A1933" s="5"/>
    </row>
    <row r="1934">
      <c r="A1934" s="5"/>
    </row>
    <row r="1935">
      <c r="A1935" s="5"/>
    </row>
    <row r="1936">
      <c r="A1936" s="5"/>
    </row>
    <row r="1937">
      <c r="A1937" s="5"/>
    </row>
    <row r="1938">
      <c r="A1938" s="5"/>
    </row>
    <row r="1939">
      <c r="A1939" s="5"/>
    </row>
    <row r="1940">
      <c r="A1940" s="5"/>
    </row>
    <row r="1941">
      <c r="A1941" s="5"/>
    </row>
    <row r="1942">
      <c r="A1942" s="5"/>
    </row>
    <row r="1943">
      <c r="A1943" s="5"/>
    </row>
    <row r="1944">
      <c r="A1944" s="5"/>
    </row>
    <row r="1945">
      <c r="A1945" s="5"/>
    </row>
    <row r="1946">
      <c r="A1946" s="5"/>
    </row>
    <row r="1947">
      <c r="A1947" s="5"/>
    </row>
    <row r="1948">
      <c r="A1948" s="5"/>
    </row>
    <row r="1949">
      <c r="A1949" s="5"/>
    </row>
    <row r="1950">
      <c r="A1950" s="5"/>
    </row>
    <row r="1951">
      <c r="A1951" s="5"/>
    </row>
    <row r="1952">
      <c r="A1952" s="5"/>
    </row>
    <row r="1953">
      <c r="A1953" s="5"/>
    </row>
    <row r="1954">
      <c r="A1954" s="5"/>
    </row>
    <row r="1955">
      <c r="A1955" s="5"/>
    </row>
    <row r="1956">
      <c r="A1956" s="5"/>
    </row>
    <row r="1957">
      <c r="A1957" s="5"/>
    </row>
    <row r="1958">
      <c r="A1958" s="5"/>
    </row>
    <row r="1959">
      <c r="A1959" s="5"/>
    </row>
    <row r="1960">
      <c r="A1960" s="5"/>
    </row>
    <row r="1961">
      <c r="A1961" s="5"/>
    </row>
    <row r="1962">
      <c r="A1962" s="5"/>
    </row>
    <row r="1963">
      <c r="A1963" s="5"/>
    </row>
    <row r="1964">
      <c r="A1964" s="5"/>
    </row>
    <row r="1965">
      <c r="A1965" s="5"/>
    </row>
    <row r="1966">
      <c r="A1966" s="5"/>
    </row>
    <row r="1967">
      <c r="A1967" s="5"/>
    </row>
    <row r="1968">
      <c r="A1968" s="5"/>
    </row>
    <row r="1969">
      <c r="A1969" s="5"/>
    </row>
    <row r="1970">
      <c r="A1970" s="5"/>
    </row>
    <row r="1971">
      <c r="A1971" s="5"/>
    </row>
    <row r="1972">
      <c r="A1972" s="5"/>
    </row>
    <row r="1973">
      <c r="A1973" s="5"/>
    </row>
    <row r="1974">
      <c r="A1974" s="5"/>
    </row>
    <row r="1975">
      <c r="A1975" s="5"/>
    </row>
    <row r="1976">
      <c r="A1976" s="5"/>
    </row>
    <row r="1977">
      <c r="A1977" s="5"/>
    </row>
    <row r="1978">
      <c r="A1978" s="5"/>
    </row>
    <row r="1979">
      <c r="A1979" s="5"/>
    </row>
    <row r="1980">
      <c r="A1980" s="5"/>
    </row>
    <row r="1981">
      <c r="A1981" s="5"/>
    </row>
    <row r="1982">
      <c r="A1982" s="5"/>
    </row>
    <row r="1983">
      <c r="A1983" s="5"/>
    </row>
    <row r="1984">
      <c r="A1984" s="5"/>
    </row>
    <row r="1985">
      <c r="A1985" s="5"/>
    </row>
    <row r="1986">
      <c r="A1986" s="5"/>
    </row>
    <row r="1987">
      <c r="A1987" s="5"/>
    </row>
    <row r="1988">
      <c r="A1988" s="5"/>
    </row>
    <row r="1989">
      <c r="A1989" s="5"/>
    </row>
    <row r="1990">
      <c r="A1990" s="5"/>
    </row>
    <row r="1991">
      <c r="A1991" s="5"/>
    </row>
    <row r="1992">
      <c r="A1992" s="5"/>
    </row>
    <row r="1993">
      <c r="A1993" s="5"/>
    </row>
    <row r="1994">
      <c r="A1994" s="5"/>
    </row>
    <row r="1995">
      <c r="A1995" s="5"/>
    </row>
    <row r="1996">
      <c r="A1996" s="5"/>
    </row>
    <row r="1997">
      <c r="A1997" s="5"/>
    </row>
    <row r="1998">
      <c r="A1998" s="5"/>
    </row>
    <row r="1999">
      <c r="A1999" s="5"/>
    </row>
    <row r="2000">
      <c r="A2000" s="5"/>
    </row>
    <row r="2001">
      <c r="A2001" s="5"/>
    </row>
    <row r="2002">
      <c r="A2002" s="5"/>
    </row>
    <row r="2003">
      <c r="A2003" s="5"/>
    </row>
    <row r="2004">
      <c r="A2004" s="5"/>
    </row>
    <row r="2005">
      <c r="A2005" s="5"/>
    </row>
    <row r="2006">
      <c r="A2006" s="5"/>
    </row>
    <row r="2007">
      <c r="A2007" s="5"/>
    </row>
    <row r="2008">
      <c r="A2008" s="5"/>
    </row>
    <row r="2009">
      <c r="A2009" s="5"/>
    </row>
    <row r="2010">
      <c r="A2010" s="5"/>
    </row>
    <row r="2011">
      <c r="A2011" s="5"/>
    </row>
    <row r="2012">
      <c r="A2012" s="5"/>
    </row>
    <row r="2013">
      <c r="A2013" s="5"/>
    </row>
    <row r="2014">
      <c r="A2014" s="5"/>
    </row>
    <row r="2015">
      <c r="A2015" s="5"/>
    </row>
    <row r="2016">
      <c r="A2016" s="5"/>
    </row>
    <row r="2017">
      <c r="A2017" s="5"/>
    </row>
    <row r="2018">
      <c r="A2018" s="5"/>
    </row>
    <row r="2019">
      <c r="A2019" s="5"/>
    </row>
    <row r="2020">
      <c r="A2020" s="5"/>
    </row>
    <row r="2021">
      <c r="A2021" s="5"/>
    </row>
    <row r="2022">
      <c r="A2022" s="5"/>
    </row>
    <row r="2023">
      <c r="A2023" s="5"/>
    </row>
    <row r="2024">
      <c r="A2024" s="5"/>
    </row>
    <row r="2025">
      <c r="A2025" s="5"/>
    </row>
    <row r="2026">
      <c r="A2026" s="5"/>
    </row>
    <row r="2027">
      <c r="A2027" s="5"/>
    </row>
    <row r="2028">
      <c r="A2028" s="5"/>
    </row>
    <row r="2029">
      <c r="A2029" s="5"/>
    </row>
    <row r="2030">
      <c r="A2030" s="5"/>
    </row>
    <row r="2031">
      <c r="A2031" s="5"/>
    </row>
    <row r="2032">
      <c r="A2032" s="5"/>
    </row>
    <row r="2033">
      <c r="A2033" s="5"/>
    </row>
    <row r="2034">
      <c r="A2034" s="5"/>
    </row>
    <row r="2035">
      <c r="A2035" s="5"/>
    </row>
    <row r="2036">
      <c r="A2036" s="5"/>
    </row>
    <row r="2037">
      <c r="A2037" s="5"/>
    </row>
    <row r="2038">
      <c r="A2038" s="5"/>
    </row>
    <row r="2039">
      <c r="A2039" s="5"/>
    </row>
    <row r="2040">
      <c r="A2040" s="5"/>
    </row>
    <row r="2041">
      <c r="A2041" s="5"/>
    </row>
    <row r="2042">
      <c r="A2042" s="5"/>
    </row>
    <row r="2043">
      <c r="A2043" s="5"/>
    </row>
    <row r="2044">
      <c r="A2044" s="5"/>
    </row>
    <row r="2045">
      <c r="A2045" s="5"/>
    </row>
    <row r="2046">
      <c r="A2046" s="5"/>
    </row>
    <row r="2047">
      <c r="A2047" s="5"/>
    </row>
    <row r="2048">
      <c r="A2048" s="5"/>
    </row>
    <row r="2049">
      <c r="A2049" s="5"/>
    </row>
    <row r="2050">
      <c r="A2050" s="5"/>
    </row>
    <row r="2051">
      <c r="A2051" s="5"/>
    </row>
    <row r="2052">
      <c r="A2052" s="5"/>
    </row>
    <row r="2053">
      <c r="A2053" s="5"/>
    </row>
    <row r="2054">
      <c r="A2054" s="5"/>
    </row>
    <row r="2055">
      <c r="A2055" s="5"/>
    </row>
    <row r="2056">
      <c r="A2056" s="5"/>
    </row>
    <row r="2057">
      <c r="A2057" s="5"/>
    </row>
    <row r="2058">
      <c r="A2058" s="5"/>
    </row>
    <row r="2059">
      <c r="A2059" s="5"/>
    </row>
    <row r="2060">
      <c r="A2060" s="5"/>
    </row>
    <row r="2061">
      <c r="A2061" s="5"/>
    </row>
    <row r="2062">
      <c r="A2062" s="5"/>
    </row>
    <row r="2063">
      <c r="A2063" s="5"/>
    </row>
    <row r="2064">
      <c r="A2064" s="5"/>
    </row>
    <row r="2065">
      <c r="A2065" s="5"/>
    </row>
    <row r="2066">
      <c r="A2066" s="5"/>
    </row>
    <row r="2067">
      <c r="A2067" s="5"/>
    </row>
    <row r="2068">
      <c r="A2068" s="5"/>
    </row>
    <row r="2069">
      <c r="A2069" s="5"/>
    </row>
    <row r="2070">
      <c r="A2070" s="5"/>
    </row>
    <row r="2071">
      <c r="A2071" s="5"/>
    </row>
    <row r="2072">
      <c r="A2072" s="5"/>
    </row>
    <row r="2073">
      <c r="A2073" s="5"/>
    </row>
    <row r="2074">
      <c r="A2074" s="5"/>
    </row>
    <row r="2075">
      <c r="A2075" s="5"/>
    </row>
    <row r="2076">
      <c r="A2076" s="5"/>
    </row>
    <row r="2077">
      <c r="A2077" s="5"/>
    </row>
    <row r="2078">
      <c r="A2078" s="5"/>
    </row>
    <row r="2079">
      <c r="A2079" s="5"/>
    </row>
    <row r="2080">
      <c r="A2080" s="5"/>
    </row>
    <row r="2081">
      <c r="A2081" s="5"/>
    </row>
    <row r="2082">
      <c r="A2082" s="5"/>
    </row>
    <row r="2083">
      <c r="A2083" s="5"/>
    </row>
    <row r="2084">
      <c r="A2084" s="5"/>
    </row>
    <row r="2085">
      <c r="A2085" s="5"/>
    </row>
    <row r="2086">
      <c r="A2086" s="5"/>
    </row>
    <row r="2087">
      <c r="A2087" s="5"/>
    </row>
    <row r="2088">
      <c r="A2088" s="5"/>
    </row>
    <row r="2089">
      <c r="A2089" s="5"/>
    </row>
    <row r="2090">
      <c r="A2090" s="5"/>
    </row>
    <row r="2091">
      <c r="A2091" s="5"/>
    </row>
    <row r="2092">
      <c r="A2092" s="5"/>
    </row>
    <row r="2093">
      <c r="A2093" s="5"/>
    </row>
    <row r="2094">
      <c r="A2094" s="5"/>
    </row>
    <row r="2095">
      <c r="A2095" s="5"/>
    </row>
    <row r="2096">
      <c r="A2096" s="5"/>
    </row>
    <row r="2097">
      <c r="A2097" s="5"/>
    </row>
    <row r="2098">
      <c r="A2098" s="5"/>
    </row>
    <row r="2099">
      <c r="A2099" s="5"/>
    </row>
    <row r="2100">
      <c r="A2100" s="5"/>
    </row>
    <row r="2101">
      <c r="A2101" s="5"/>
    </row>
    <row r="2102">
      <c r="A2102" s="5"/>
    </row>
    <row r="2103">
      <c r="A2103" s="5"/>
    </row>
    <row r="2104">
      <c r="A2104" s="5"/>
    </row>
    <row r="2105">
      <c r="A2105" s="5"/>
    </row>
    <row r="2106">
      <c r="A2106" s="5"/>
    </row>
    <row r="2107">
      <c r="A2107" s="5"/>
    </row>
    <row r="2108">
      <c r="A2108" s="5"/>
    </row>
    <row r="2109">
      <c r="A2109" s="5"/>
    </row>
    <row r="2110">
      <c r="A2110" s="5"/>
    </row>
    <row r="2111">
      <c r="A2111" s="5"/>
    </row>
    <row r="2112">
      <c r="A2112" s="5"/>
    </row>
    <row r="2113">
      <c r="A2113" s="5"/>
    </row>
    <row r="2114">
      <c r="A2114" s="5"/>
    </row>
    <row r="2115">
      <c r="A2115" s="5"/>
    </row>
    <row r="2116">
      <c r="A2116" s="5"/>
    </row>
    <row r="2117">
      <c r="A2117" s="5"/>
    </row>
    <row r="2118">
      <c r="A2118" s="5"/>
    </row>
    <row r="2119">
      <c r="A2119" s="5"/>
    </row>
    <row r="2120">
      <c r="A2120" s="5"/>
    </row>
    <row r="2121">
      <c r="A2121" s="5"/>
    </row>
    <row r="2122">
      <c r="A2122" s="5"/>
    </row>
    <row r="2123">
      <c r="A2123" s="5"/>
    </row>
    <row r="2124">
      <c r="A2124" s="5"/>
    </row>
    <row r="2125">
      <c r="A2125" s="5"/>
    </row>
    <row r="2126">
      <c r="A2126" s="5"/>
    </row>
    <row r="2127">
      <c r="A2127" s="5"/>
    </row>
    <row r="2128">
      <c r="A2128" s="5"/>
    </row>
    <row r="2129">
      <c r="A2129" s="5"/>
    </row>
    <row r="2130">
      <c r="A2130" s="5"/>
    </row>
    <row r="2131">
      <c r="A2131" s="5"/>
    </row>
    <row r="2132">
      <c r="A2132" s="5"/>
    </row>
    <row r="2133">
      <c r="A2133" s="5"/>
    </row>
    <row r="2134">
      <c r="A2134" s="5"/>
    </row>
    <row r="2135">
      <c r="A2135" s="5"/>
    </row>
    <row r="2136">
      <c r="A2136" s="5"/>
    </row>
    <row r="2137">
      <c r="A2137" s="5"/>
    </row>
    <row r="2138">
      <c r="A2138" s="5"/>
    </row>
    <row r="2139">
      <c r="A2139" s="5"/>
    </row>
    <row r="2140">
      <c r="A2140" s="5"/>
    </row>
    <row r="2141">
      <c r="A2141" s="5"/>
    </row>
    <row r="2142">
      <c r="A2142" s="5"/>
    </row>
    <row r="2143">
      <c r="A2143" s="5"/>
    </row>
    <row r="2144">
      <c r="A2144" s="5"/>
    </row>
    <row r="2145">
      <c r="A2145" s="5"/>
    </row>
    <row r="2146">
      <c r="A2146" s="5"/>
    </row>
    <row r="2147">
      <c r="A2147" s="5"/>
    </row>
    <row r="2148">
      <c r="A2148" s="5"/>
    </row>
    <row r="2149">
      <c r="A2149" s="5"/>
    </row>
    <row r="2150">
      <c r="A2150" s="5"/>
    </row>
    <row r="2151">
      <c r="A2151" s="5"/>
    </row>
    <row r="2152">
      <c r="A2152" s="5"/>
    </row>
    <row r="2153">
      <c r="A2153" s="5"/>
    </row>
    <row r="2154">
      <c r="A2154" s="5"/>
    </row>
    <row r="2155">
      <c r="A2155" s="5"/>
    </row>
    <row r="2156">
      <c r="A2156" s="5"/>
    </row>
    <row r="2157">
      <c r="A2157" s="5"/>
    </row>
    <row r="2158">
      <c r="A2158" s="5"/>
    </row>
    <row r="2159">
      <c r="A2159" s="5"/>
    </row>
    <row r="2160">
      <c r="A2160" s="5"/>
    </row>
    <row r="2161">
      <c r="A2161" s="5"/>
    </row>
    <row r="2162">
      <c r="A2162" s="5"/>
    </row>
    <row r="2163">
      <c r="A2163" s="5"/>
    </row>
    <row r="2164">
      <c r="A2164" s="5"/>
    </row>
    <row r="2165">
      <c r="A2165" s="5"/>
    </row>
    <row r="2166">
      <c r="A2166" s="5"/>
    </row>
    <row r="2167">
      <c r="A2167" s="5"/>
    </row>
    <row r="2168">
      <c r="A2168" s="5"/>
    </row>
    <row r="2169">
      <c r="A2169" s="5"/>
    </row>
    <row r="2170">
      <c r="A2170" s="5"/>
    </row>
    <row r="2171">
      <c r="A2171" s="5"/>
    </row>
    <row r="2172">
      <c r="A2172" s="5"/>
    </row>
    <row r="2173">
      <c r="A2173" s="5"/>
    </row>
    <row r="2174">
      <c r="A2174" s="5"/>
    </row>
    <row r="2175">
      <c r="A2175" s="5"/>
    </row>
    <row r="2176">
      <c r="A2176" s="5"/>
    </row>
    <row r="2177">
      <c r="A2177" s="5"/>
    </row>
    <row r="2178">
      <c r="A2178" s="5"/>
    </row>
    <row r="2179">
      <c r="A2179" s="5"/>
    </row>
    <row r="2180">
      <c r="A2180" s="5"/>
    </row>
    <row r="2181">
      <c r="A2181" s="5"/>
    </row>
    <row r="2182">
      <c r="A2182" s="5"/>
    </row>
    <row r="2183">
      <c r="A2183" s="5"/>
    </row>
    <row r="2184">
      <c r="A2184" s="5"/>
    </row>
    <row r="2185">
      <c r="A2185" s="5"/>
    </row>
    <row r="2186">
      <c r="A2186" s="5"/>
    </row>
    <row r="2187">
      <c r="A2187" s="5"/>
    </row>
    <row r="2188">
      <c r="A2188" s="5"/>
    </row>
    <row r="2189">
      <c r="A2189" s="5"/>
    </row>
    <row r="2190">
      <c r="A2190" s="5"/>
    </row>
    <row r="2191">
      <c r="A2191" s="5"/>
    </row>
    <row r="2192">
      <c r="A2192" s="5"/>
    </row>
    <row r="2193">
      <c r="A2193" s="5"/>
    </row>
    <row r="2194">
      <c r="A2194" s="5"/>
    </row>
    <row r="2195">
      <c r="A2195" s="5"/>
    </row>
    <row r="2196">
      <c r="A2196" s="5"/>
    </row>
    <row r="2197">
      <c r="A2197" s="5"/>
    </row>
    <row r="2198">
      <c r="A2198" s="5"/>
    </row>
    <row r="2199">
      <c r="A2199" s="5"/>
    </row>
    <row r="2200">
      <c r="A2200" s="5"/>
    </row>
    <row r="2201">
      <c r="A2201" s="5"/>
    </row>
    <row r="2202">
      <c r="A2202" s="5"/>
    </row>
    <row r="2203">
      <c r="A2203" s="5"/>
    </row>
    <row r="2204">
      <c r="A2204" s="5"/>
    </row>
    <row r="2205">
      <c r="A2205" s="5"/>
    </row>
    <row r="2206">
      <c r="A2206" s="5"/>
    </row>
    <row r="2207">
      <c r="A2207" s="5"/>
    </row>
    <row r="2208">
      <c r="A2208" s="5"/>
    </row>
    <row r="2209">
      <c r="A2209" s="5"/>
    </row>
    <row r="2210">
      <c r="A2210" s="5"/>
    </row>
    <row r="2211">
      <c r="A2211" s="5"/>
    </row>
    <row r="2212">
      <c r="A2212" s="5"/>
    </row>
    <row r="2213">
      <c r="A2213" s="5"/>
    </row>
    <row r="2214">
      <c r="A2214" s="5"/>
    </row>
    <row r="2215">
      <c r="A2215" s="5"/>
    </row>
    <row r="2216">
      <c r="A2216" s="5"/>
    </row>
    <row r="2217">
      <c r="A2217" s="5"/>
    </row>
    <row r="2218">
      <c r="A2218" s="5"/>
    </row>
    <row r="2219">
      <c r="A2219" s="5"/>
    </row>
    <row r="2220">
      <c r="A2220" s="5"/>
    </row>
    <row r="2221">
      <c r="A2221" s="5"/>
    </row>
    <row r="2222">
      <c r="A2222" s="5"/>
    </row>
    <row r="2223">
      <c r="A2223" s="5"/>
    </row>
    <row r="2224">
      <c r="A2224" s="5"/>
    </row>
    <row r="2225">
      <c r="A2225" s="5"/>
    </row>
    <row r="2226">
      <c r="A2226" s="5"/>
    </row>
    <row r="2227">
      <c r="A2227" s="5"/>
    </row>
    <row r="2228">
      <c r="A2228" s="5"/>
    </row>
    <row r="2229">
      <c r="A2229" s="5"/>
    </row>
    <row r="2230">
      <c r="A2230" s="5"/>
    </row>
    <row r="2231">
      <c r="A2231" s="5"/>
    </row>
    <row r="2232">
      <c r="A2232" s="5"/>
    </row>
    <row r="2233">
      <c r="A2233" s="5"/>
    </row>
    <row r="2234">
      <c r="A2234" s="5"/>
    </row>
    <row r="2235">
      <c r="A2235" s="5"/>
    </row>
    <row r="2236">
      <c r="A2236" s="5"/>
    </row>
    <row r="2237">
      <c r="A2237" s="5"/>
    </row>
    <row r="2238">
      <c r="A2238" s="5"/>
    </row>
    <row r="2239">
      <c r="A2239" s="5"/>
    </row>
    <row r="2240">
      <c r="A2240" s="5"/>
    </row>
    <row r="2241">
      <c r="A2241" s="5"/>
    </row>
    <row r="2242">
      <c r="A2242" s="5"/>
    </row>
    <row r="2243">
      <c r="A2243" s="5"/>
    </row>
    <row r="2244">
      <c r="A2244" s="5"/>
    </row>
    <row r="2245">
      <c r="A2245" s="5"/>
    </row>
    <row r="2246">
      <c r="A2246" s="5"/>
    </row>
    <row r="2247">
      <c r="A2247" s="5"/>
    </row>
    <row r="2248">
      <c r="A2248" s="5"/>
    </row>
    <row r="2249">
      <c r="A2249" s="5"/>
    </row>
    <row r="2250">
      <c r="A2250" s="5"/>
    </row>
    <row r="2251">
      <c r="A2251" s="5"/>
    </row>
    <row r="2252">
      <c r="A2252" s="5"/>
    </row>
    <row r="2253">
      <c r="A2253" s="5"/>
    </row>
    <row r="2254">
      <c r="A2254" s="5"/>
    </row>
    <row r="2255">
      <c r="A2255" s="5"/>
    </row>
    <row r="2256">
      <c r="A2256" s="5"/>
    </row>
    <row r="2257">
      <c r="A2257" s="5"/>
    </row>
    <row r="2258">
      <c r="A2258" s="5"/>
    </row>
    <row r="2259">
      <c r="A2259" s="5"/>
    </row>
    <row r="2260">
      <c r="A2260" s="5"/>
    </row>
    <row r="2261">
      <c r="A2261" s="5"/>
    </row>
    <row r="2262">
      <c r="A2262" s="5"/>
    </row>
    <row r="2263">
      <c r="A2263" s="5"/>
    </row>
    <row r="2264">
      <c r="A2264" s="5"/>
    </row>
    <row r="2265">
      <c r="A2265" s="5"/>
    </row>
    <row r="2266">
      <c r="A2266" s="5"/>
    </row>
    <row r="2267">
      <c r="A2267" s="5"/>
    </row>
    <row r="2268">
      <c r="A2268" s="5"/>
    </row>
    <row r="2269">
      <c r="A2269" s="5"/>
    </row>
    <row r="2270">
      <c r="A2270" s="5"/>
    </row>
    <row r="2271">
      <c r="A2271" s="5"/>
    </row>
    <row r="2272">
      <c r="A2272" s="5"/>
    </row>
    <row r="2273">
      <c r="A2273" s="5"/>
    </row>
    <row r="2274">
      <c r="A2274" s="5"/>
    </row>
    <row r="2275">
      <c r="A2275" s="5"/>
    </row>
    <row r="2276">
      <c r="A2276" s="5"/>
    </row>
    <row r="2277">
      <c r="A2277" s="5"/>
    </row>
    <row r="2278">
      <c r="A2278" s="5"/>
    </row>
    <row r="2279">
      <c r="A2279" s="5"/>
    </row>
    <row r="2280">
      <c r="A2280" s="5"/>
    </row>
    <row r="2281">
      <c r="A2281" s="5"/>
    </row>
    <row r="2282">
      <c r="A2282" s="5"/>
    </row>
    <row r="2283">
      <c r="A2283" s="5"/>
    </row>
    <row r="2284">
      <c r="A2284" s="5"/>
    </row>
    <row r="2285">
      <c r="A2285" s="5"/>
    </row>
    <row r="2286">
      <c r="A2286" s="5"/>
    </row>
    <row r="2287">
      <c r="A2287" s="5"/>
    </row>
    <row r="2288">
      <c r="A2288" s="5"/>
    </row>
    <row r="2289">
      <c r="A2289" s="5"/>
    </row>
    <row r="2290">
      <c r="A2290" s="5"/>
    </row>
    <row r="2291">
      <c r="A2291" s="5"/>
    </row>
    <row r="2292">
      <c r="A2292" s="5"/>
    </row>
    <row r="2293">
      <c r="A2293" s="5"/>
    </row>
    <row r="2294">
      <c r="A2294" s="5"/>
    </row>
    <row r="2295">
      <c r="A2295" s="5"/>
    </row>
    <row r="2296">
      <c r="A2296" s="5"/>
    </row>
    <row r="2297">
      <c r="A2297" s="5"/>
    </row>
    <row r="2298">
      <c r="A2298" s="5"/>
    </row>
    <row r="2299">
      <c r="A2299" s="5"/>
    </row>
    <row r="2300">
      <c r="A2300" s="5"/>
    </row>
    <row r="2301">
      <c r="A2301" s="5"/>
    </row>
    <row r="2302">
      <c r="A2302" s="5"/>
    </row>
    <row r="2303">
      <c r="A2303" s="5"/>
    </row>
    <row r="2304">
      <c r="A2304" s="5"/>
    </row>
    <row r="2305">
      <c r="A2305" s="5"/>
    </row>
    <row r="2306">
      <c r="A2306" s="5"/>
    </row>
    <row r="2307">
      <c r="A2307" s="5"/>
    </row>
    <row r="2308">
      <c r="A2308" s="5"/>
    </row>
    <row r="2309">
      <c r="A2309" s="5"/>
    </row>
    <row r="2310">
      <c r="A2310" s="5"/>
    </row>
    <row r="2311">
      <c r="A2311" s="5"/>
    </row>
    <row r="2312">
      <c r="A2312" s="5"/>
    </row>
    <row r="2313">
      <c r="A2313" s="5"/>
    </row>
    <row r="2314">
      <c r="A2314" s="5"/>
    </row>
    <row r="2315">
      <c r="A2315" s="5"/>
    </row>
    <row r="2316">
      <c r="A2316" s="5"/>
    </row>
    <row r="2317">
      <c r="A2317" s="5"/>
    </row>
    <row r="2318">
      <c r="A2318" s="5"/>
    </row>
    <row r="2319">
      <c r="A2319" s="5"/>
    </row>
    <row r="2320">
      <c r="A2320" s="5"/>
    </row>
    <row r="2321">
      <c r="A2321" s="5"/>
    </row>
    <row r="2322">
      <c r="A2322" s="5"/>
    </row>
    <row r="2323">
      <c r="A2323" s="5"/>
    </row>
    <row r="2324">
      <c r="A2324" s="5"/>
    </row>
    <row r="2325">
      <c r="A2325" s="5"/>
    </row>
    <row r="2326">
      <c r="A2326" s="5"/>
    </row>
    <row r="2327">
      <c r="A2327" s="5"/>
    </row>
    <row r="2328">
      <c r="A2328" s="5"/>
    </row>
    <row r="2329">
      <c r="A2329" s="5"/>
    </row>
    <row r="2330">
      <c r="A2330" s="5"/>
    </row>
    <row r="2331">
      <c r="A2331" s="5"/>
    </row>
    <row r="2332">
      <c r="A2332" s="5"/>
    </row>
    <row r="2333">
      <c r="A2333" s="5"/>
    </row>
    <row r="2334">
      <c r="A2334" s="5"/>
    </row>
    <row r="2335">
      <c r="A2335" s="5"/>
    </row>
    <row r="2336">
      <c r="A2336" s="5"/>
    </row>
    <row r="2337">
      <c r="A2337" s="5"/>
    </row>
    <row r="2338">
      <c r="A2338" s="5"/>
    </row>
    <row r="2339">
      <c r="A2339" s="5"/>
    </row>
    <row r="2340">
      <c r="A2340" s="5"/>
    </row>
    <row r="2341">
      <c r="A2341" s="5"/>
    </row>
    <row r="2342">
      <c r="A2342" s="5"/>
    </row>
    <row r="2343">
      <c r="A2343" s="5"/>
    </row>
    <row r="2344">
      <c r="A2344" s="5"/>
    </row>
    <row r="2345">
      <c r="A2345" s="5"/>
    </row>
    <row r="2346">
      <c r="A2346" s="5"/>
    </row>
    <row r="2347">
      <c r="A2347" s="5"/>
    </row>
    <row r="2348">
      <c r="A2348" s="5"/>
    </row>
    <row r="2349">
      <c r="A2349" s="5"/>
    </row>
    <row r="2350">
      <c r="A2350" s="5"/>
    </row>
    <row r="2351">
      <c r="A2351" s="5"/>
    </row>
    <row r="2352">
      <c r="A2352" s="5"/>
    </row>
    <row r="2353">
      <c r="A2353" s="5"/>
    </row>
    <row r="2354">
      <c r="A2354" s="5"/>
    </row>
    <row r="2355">
      <c r="A2355" s="5"/>
    </row>
    <row r="2356">
      <c r="A2356" s="5"/>
    </row>
    <row r="2357">
      <c r="A2357" s="5"/>
    </row>
    <row r="2358">
      <c r="A2358" s="5"/>
    </row>
    <row r="2359">
      <c r="A2359" s="5"/>
    </row>
    <row r="2360">
      <c r="A2360" s="5"/>
    </row>
    <row r="2361">
      <c r="A2361" s="5"/>
    </row>
    <row r="2362">
      <c r="A2362" s="5"/>
    </row>
    <row r="2363">
      <c r="A2363" s="5"/>
    </row>
    <row r="2364">
      <c r="A2364" s="5"/>
    </row>
    <row r="2365">
      <c r="A2365" s="5"/>
    </row>
    <row r="2366">
      <c r="A2366" s="5"/>
    </row>
    <row r="2367">
      <c r="A2367" s="5"/>
    </row>
    <row r="2368">
      <c r="A2368" s="5"/>
    </row>
    <row r="2369">
      <c r="A2369" s="5"/>
    </row>
    <row r="2370">
      <c r="A2370" s="5"/>
    </row>
    <row r="2371">
      <c r="A2371" s="5"/>
    </row>
    <row r="2372">
      <c r="A2372" s="5"/>
    </row>
    <row r="2373">
      <c r="A2373" s="5"/>
    </row>
    <row r="2374">
      <c r="A2374" s="5"/>
    </row>
    <row r="2375">
      <c r="A2375" s="5"/>
    </row>
    <row r="2376">
      <c r="A2376" s="5"/>
    </row>
    <row r="2377">
      <c r="A2377" s="5"/>
    </row>
    <row r="2378">
      <c r="A2378" s="5"/>
    </row>
    <row r="2379">
      <c r="A2379" s="5"/>
    </row>
    <row r="2380">
      <c r="A2380" s="5"/>
    </row>
    <row r="2381">
      <c r="A2381" s="5"/>
    </row>
    <row r="2382">
      <c r="A2382" s="5"/>
    </row>
    <row r="2383">
      <c r="A2383" s="5"/>
    </row>
    <row r="2384">
      <c r="A2384" s="5"/>
    </row>
    <row r="2385">
      <c r="A2385" s="5"/>
    </row>
    <row r="2386">
      <c r="A2386" s="5"/>
    </row>
    <row r="2387">
      <c r="A2387" s="5"/>
    </row>
    <row r="2388">
      <c r="A2388" s="5"/>
    </row>
    <row r="2389">
      <c r="A2389" s="5"/>
    </row>
    <row r="2390">
      <c r="A2390" s="5"/>
    </row>
    <row r="2391">
      <c r="A2391" s="5"/>
    </row>
    <row r="2392">
      <c r="A2392" s="5"/>
    </row>
    <row r="2393">
      <c r="A2393" s="5"/>
    </row>
    <row r="2394">
      <c r="A2394" s="5"/>
    </row>
    <row r="2395">
      <c r="A2395" s="5"/>
    </row>
    <row r="2396">
      <c r="A2396" s="5"/>
    </row>
    <row r="2397">
      <c r="A2397" s="5"/>
    </row>
    <row r="2398">
      <c r="A2398" s="5"/>
    </row>
    <row r="2399">
      <c r="A2399" s="5"/>
    </row>
    <row r="2400">
      <c r="A2400" s="5"/>
    </row>
    <row r="2401">
      <c r="A2401" s="5"/>
    </row>
    <row r="2402">
      <c r="A2402" s="5"/>
    </row>
    <row r="2403">
      <c r="A2403" s="5"/>
    </row>
    <row r="2404">
      <c r="A2404" s="5"/>
    </row>
    <row r="2405">
      <c r="A2405" s="5"/>
    </row>
    <row r="2406">
      <c r="A2406" s="5"/>
    </row>
    <row r="2407">
      <c r="A2407" s="5"/>
    </row>
    <row r="2408">
      <c r="A2408" s="5"/>
    </row>
    <row r="2409">
      <c r="A2409" s="5"/>
    </row>
    <row r="2410">
      <c r="A2410" s="5"/>
    </row>
    <row r="2411">
      <c r="A2411" s="5"/>
    </row>
    <row r="2412">
      <c r="A2412" s="5"/>
    </row>
    <row r="2413">
      <c r="A2413" s="5"/>
    </row>
    <row r="2414">
      <c r="A2414" s="5"/>
    </row>
    <row r="2415">
      <c r="A2415" s="5"/>
    </row>
    <row r="2416">
      <c r="A2416" s="5"/>
    </row>
    <row r="2417">
      <c r="A2417" s="5"/>
    </row>
    <row r="2418">
      <c r="A2418" s="5"/>
    </row>
    <row r="2419">
      <c r="A2419" s="5"/>
    </row>
    <row r="2420">
      <c r="A2420" s="5"/>
    </row>
    <row r="2421">
      <c r="A2421" s="5"/>
    </row>
    <row r="2422">
      <c r="A2422" s="5"/>
    </row>
    <row r="2423">
      <c r="A2423" s="5"/>
    </row>
    <row r="2424">
      <c r="A2424" s="5"/>
    </row>
    <row r="2425">
      <c r="A2425" s="5"/>
    </row>
    <row r="2426">
      <c r="A2426" s="5"/>
    </row>
    <row r="2427">
      <c r="A2427" s="5"/>
    </row>
    <row r="2428">
      <c r="A2428" s="5"/>
    </row>
    <row r="2429">
      <c r="A2429" s="5"/>
    </row>
    <row r="2430">
      <c r="A2430" s="5"/>
    </row>
    <row r="2431">
      <c r="A2431" s="5"/>
    </row>
    <row r="2432">
      <c r="A2432" s="5"/>
    </row>
    <row r="2433">
      <c r="A2433" s="5"/>
    </row>
    <row r="2434">
      <c r="A2434" s="5"/>
    </row>
    <row r="2435">
      <c r="A2435" s="5"/>
    </row>
    <row r="2436">
      <c r="A2436" s="5"/>
    </row>
    <row r="2437">
      <c r="A2437" s="5"/>
    </row>
    <row r="2438">
      <c r="A2438" s="5"/>
    </row>
    <row r="2439">
      <c r="A2439" s="5"/>
    </row>
    <row r="2440">
      <c r="A2440" s="5"/>
    </row>
    <row r="2441">
      <c r="A2441" s="5"/>
    </row>
    <row r="2442">
      <c r="A2442" s="5"/>
    </row>
    <row r="2443">
      <c r="A2443" s="5"/>
    </row>
    <row r="2444">
      <c r="A2444" s="5"/>
    </row>
    <row r="2445">
      <c r="A2445" s="5"/>
    </row>
    <row r="2446">
      <c r="A2446" s="5"/>
    </row>
    <row r="2447">
      <c r="A2447" s="5"/>
    </row>
    <row r="2448">
      <c r="A2448" s="5"/>
    </row>
    <row r="2449">
      <c r="A2449" s="5"/>
    </row>
    <row r="2450">
      <c r="A2450" s="5"/>
    </row>
    <row r="2451">
      <c r="A2451" s="5"/>
    </row>
    <row r="2452">
      <c r="A2452" s="5"/>
    </row>
    <row r="2453">
      <c r="A2453" s="5"/>
    </row>
    <row r="2454">
      <c r="A2454" s="5"/>
    </row>
    <row r="2455">
      <c r="A2455" s="5"/>
    </row>
    <row r="2456">
      <c r="A2456" s="5"/>
    </row>
    <row r="2457">
      <c r="A2457" s="5"/>
    </row>
    <row r="2458">
      <c r="A2458" s="5"/>
    </row>
    <row r="2459">
      <c r="A2459" s="5"/>
    </row>
    <row r="2460">
      <c r="A2460" s="5"/>
    </row>
    <row r="2461">
      <c r="A2461" s="5"/>
    </row>
    <row r="2462">
      <c r="A2462" s="5"/>
    </row>
    <row r="2463">
      <c r="A2463" s="5"/>
    </row>
    <row r="2464">
      <c r="A2464" s="5"/>
    </row>
    <row r="2465">
      <c r="A2465" s="5"/>
    </row>
    <row r="2466">
      <c r="A2466" s="5"/>
    </row>
    <row r="2467">
      <c r="A2467" s="5"/>
    </row>
    <row r="2468">
      <c r="A2468" s="5"/>
    </row>
    <row r="2469">
      <c r="A2469" s="5"/>
    </row>
    <row r="2470">
      <c r="A2470" s="5"/>
    </row>
    <row r="2471">
      <c r="A2471" s="5"/>
    </row>
    <row r="2472">
      <c r="A2472" s="5"/>
    </row>
    <row r="2473">
      <c r="A2473" s="5"/>
    </row>
    <row r="2474">
      <c r="A2474" s="5"/>
    </row>
    <row r="2475">
      <c r="A2475" s="5"/>
    </row>
    <row r="2476">
      <c r="A2476" s="5"/>
    </row>
    <row r="2477">
      <c r="A2477" s="5"/>
    </row>
    <row r="2478">
      <c r="A2478" s="5"/>
    </row>
    <row r="2479">
      <c r="A2479" s="5"/>
    </row>
    <row r="2480">
      <c r="A2480" s="5"/>
    </row>
    <row r="2481">
      <c r="A2481" s="5"/>
    </row>
    <row r="2482">
      <c r="A2482" s="5"/>
    </row>
    <row r="2483">
      <c r="A2483" s="5"/>
    </row>
    <row r="2484">
      <c r="A2484" s="5"/>
    </row>
    <row r="2485">
      <c r="A2485" s="5"/>
    </row>
    <row r="2486">
      <c r="A2486" s="5"/>
    </row>
    <row r="2487">
      <c r="A2487" s="5"/>
    </row>
    <row r="2488">
      <c r="A2488" s="5"/>
    </row>
    <row r="2489">
      <c r="A2489" s="5"/>
    </row>
    <row r="2490">
      <c r="A2490" s="5"/>
    </row>
    <row r="2491">
      <c r="A2491" s="5"/>
    </row>
    <row r="2492">
      <c r="A2492" s="5"/>
    </row>
    <row r="2493">
      <c r="A2493" s="5"/>
    </row>
    <row r="2494">
      <c r="A2494" s="5"/>
    </row>
    <row r="2495">
      <c r="A2495" s="5"/>
    </row>
    <row r="2496">
      <c r="A2496" s="5"/>
    </row>
    <row r="2497">
      <c r="A2497" s="5"/>
    </row>
    <row r="2498">
      <c r="A2498" s="5"/>
    </row>
    <row r="2499">
      <c r="A2499" s="5"/>
    </row>
    <row r="2500">
      <c r="A2500" s="5"/>
    </row>
    <row r="2501">
      <c r="A2501" s="5"/>
    </row>
    <row r="2502">
      <c r="A2502" s="5"/>
    </row>
    <row r="2503">
      <c r="A2503" s="5"/>
    </row>
    <row r="2504">
      <c r="A2504" s="5"/>
    </row>
    <row r="2505">
      <c r="A2505" s="5"/>
    </row>
    <row r="2506">
      <c r="A2506" s="5"/>
    </row>
    <row r="2507">
      <c r="A2507" s="5"/>
    </row>
    <row r="2508">
      <c r="A2508" s="5"/>
    </row>
    <row r="2509">
      <c r="A2509" s="5"/>
    </row>
    <row r="2510">
      <c r="A2510" s="5"/>
    </row>
    <row r="2511">
      <c r="A2511" s="5"/>
    </row>
    <row r="2512">
      <c r="A2512" s="5"/>
    </row>
    <row r="2513">
      <c r="A2513" s="5"/>
    </row>
    <row r="2514">
      <c r="A2514" s="5"/>
    </row>
    <row r="2515">
      <c r="A2515" s="5"/>
    </row>
    <row r="2516">
      <c r="A2516" s="5"/>
    </row>
    <row r="2517">
      <c r="A2517" s="5"/>
    </row>
    <row r="2518">
      <c r="A2518" s="5"/>
    </row>
    <row r="2519">
      <c r="A2519" s="5"/>
    </row>
    <row r="2520">
      <c r="A2520" s="5"/>
    </row>
    <row r="2521">
      <c r="A2521" s="5"/>
    </row>
    <row r="2522">
      <c r="A2522" s="5"/>
    </row>
    <row r="2523">
      <c r="A2523" s="5"/>
    </row>
    <row r="2524">
      <c r="A2524" s="5"/>
    </row>
    <row r="2525">
      <c r="A2525" s="5"/>
    </row>
    <row r="2526">
      <c r="A2526" s="5"/>
    </row>
    <row r="2527">
      <c r="A2527" s="5"/>
    </row>
    <row r="2528">
      <c r="A2528" s="5"/>
    </row>
    <row r="2529">
      <c r="A2529" s="5"/>
    </row>
    <row r="2530">
      <c r="A2530" s="5"/>
    </row>
    <row r="2531">
      <c r="A2531" s="5"/>
    </row>
    <row r="2532">
      <c r="A2532" s="5"/>
    </row>
    <row r="2533">
      <c r="A2533" s="5"/>
    </row>
    <row r="2534">
      <c r="A2534" s="5"/>
    </row>
    <row r="2535">
      <c r="A2535" s="5"/>
    </row>
    <row r="2536">
      <c r="A2536" s="5"/>
    </row>
    <row r="2537">
      <c r="A2537" s="5"/>
    </row>
    <row r="2538">
      <c r="A2538" s="5"/>
    </row>
    <row r="2539">
      <c r="A2539" s="5"/>
    </row>
    <row r="2540">
      <c r="A2540" s="5"/>
    </row>
    <row r="2541">
      <c r="A2541" s="5"/>
    </row>
    <row r="2542">
      <c r="A2542" s="5"/>
    </row>
    <row r="2543">
      <c r="A2543" s="5"/>
    </row>
    <row r="2544">
      <c r="A2544" s="5"/>
    </row>
    <row r="2545">
      <c r="A2545" s="5"/>
    </row>
    <row r="2546">
      <c r="A2546" s="5"/>
    </row>
    <row r="2547">
      <c r="A2547" s="5"/>
    </row>
    <row r="2548">
      <c r="A2548" s="5"/>
    </row>
    <row r="2549">
      <c r="A2549" s="5"/>
    </row>
    <row r="2550">
      <c r="A2550" s="5"/>
    </row>
    <row r="2551">
      <c r="A2551" s="5"/>
    </row>
    <row r="2552">
      <c r="A2552" s="5"/>
    </row>
    <row r="2553">
      <c r="A2553" s="5"/>
    </row>
    <row r="2554">
      <c r="A2554" s="5"/>
    </row>
    <row r="2555">
      <c r="A2555" s="5"/>
    </row>
    <row r="2556">
      <c r="A2556" s="5"/>
    </row>
    <row r="2557">
      <c r="A2557" s="5"/>
    </row>
    <row r="2558">
      <c r="A2558" s="5"/>
    </row>
    <row r="2559">
      <c r="A2559" s="5"/>
    </row>
    <row r="2560">
      <c r="A2560" s="5"/>
    </row>
    <row r="2561">
      <c r="A2561" s="5"/>
    </row>
    <row r="2562">
      <c r="A2562" s="5"/>
    </row>
    <row r="2563">
      <c r="A2563" s="5"/>
    </row>
    <row r="2564">
      <c r="A2564" s="5"/>
    </row>
    <row r="2565">
      <c r="A2565" s="5"/>
    </row>
    <row r="2566">
      <c r="A2566" s="5"/>
    </row>
    <row r="2567">
      <c r="A2567" s="5"/>
    </row>
    <row r="2568">
      <c r="A2568" s="5"/>
    </row>
    <row r="2569">
      <c r="A2569" s="5"/>
    </row>
    <row r="2570">
      <c r="A2570" s="5"/>
    </row>
    <row r="2571">
      <c r="A2571" s="5"/>
    </row>
    <row r="2572">
      <c r="A2572" s="5"/>
    </row>
    <row r="2573">
      <c r="A2573" s="5"/>
    </row>
    <row r="2574">
      <c r="A2574" s="5"/>
    </row>
    <row r="2575">
      <c r="A2575" s="5"/>
    </row>
    <row r="2576">
      <c r="A2576" s="5"/>
    </row>
    <row r="2577">
      <c r="A2577" s="5"/>
    </row>
    <row r="2578">
      <c r="A2578" s="5"/>
    </row>
    <row r="2579">
      <c r="A2579" s="5"/>
    </row>
    <row r="2580">
      <c r="A2580" s="5"/>
    </row>
    <row r="2581">
      <c r="A2581" s="5"/>
    </row>
    <row r="2582">
      <c r="A2582" s="5"/>
    </row>
    <row r="2583">
      <c r="A2583" s="5"/>
    </row>
    <row r="2584">
      <c r="A2584" s="5"/>
    </row>
    <row r="2585">
      <c r="A2585" s="5"/>
    </row>
    <row r="2586">
      <c r="A2586" s="5"/>
    </row>
    <row r="2587">
      <c r="A2587" s="5"/>
    </row>
    <row r="2588">
      <c r="A2588" s="5"/>
    </row>
    <row r="2589">
      <c r="A2589" s="5"/>
    </row>
    <row r="2590">
      <c r="A2590" s="5"/>
    </row>
    <row r="2591">
      <c r="A2591" s="5"/>
    </row>
    <row r="2592">
      <c r="A2592" s="5"/>
    </row>
    <row r="2593">
      <c r="A2593" s="5"/>
    </row>
    <row r="2594">
      <c r="A2594" s="5"/>
    </row>
    <row r="2595">
      <c r="A2595" s="5"/>
    </row>
    <row r="2596">
      <c r="A2596" s="5"/>
    </row>
    <row r="2597">
      <c r="A2597" s="5"/>
    </row>
    <row r="2598">
      <c r="A2598" s="5"/>
    </row>
    <row r="2599">
      <c r="A2599" s="5"/>
    </row>
    <row r="2600">
      <c r="A2600" s="5"/>
    </row>
    <row r="2601">
      <c r="A2601" s="5"/>
    </row>
    <row r="2602">
      <c r="A2602" s="5"/>
    </row>
    <row r="2603">
      <c r="A2603" s="5"/>
    </row>
    <row r="2604">
      <c r="A2604" s="5"/>
    </row>
    <row r="2605">
      <c r="A2605" s="5"/>
    </row>
    <row r="2606">
      <c r="A2606" s="5"/>
    </row>
    <row r="2607">
      <c r="A2607" s="5"/>
    </row>
    <row r="2608">
      <c r="A2608" s="5"/>
    </row>
    <row r="2609">
      <c r="A2609" s="5"/>
    </row>
    <row r="2610">
      <c r="A2610" s="5"/>
    </row>
    <row r="2611">
      <c r="A2611" s="5"/>
    </row>
    <row r="2612">
      <c r="A2612" s="5"/>
    </row>
    <row r="2613">
      <c r="A2613" s="5"/>
    </row>
    <row r="2614">
      <c r="A2614" s="5"/>
    </row>
    <row r="2615">
      <c r="A2615" s="5"/>
    </row>
    <row r="2616">
      <c r="A2616" s="5"/>
    </row>
    <row r="2617">
      <c r="A2617" s="5"/>
    </row>
    <row r="2618">
      <c r="A2618" s="5"/>
    </row>
    <row r="2619">
      <c r="A2619" s="5"/>
    </row>
    <row r="2620">
      <c r="A2620" s="5"/>
    </row>
    <row r="2621">
      <c r="A2621" s="5"/>
    </row>
    <row r="2622">
      <c r="A2622" s="5"/>
    </row>
    <row r="2623">
      <c r="A2623" s="5"/>
    </row>
    <row r="2624">
      <c r="A2624" s="5"/>
    </row>
    <row r="2625">
      <c r="A2625" s="5"/>
    </row>
    <row r="2626">
      <c r="A2626" s="5"/>
    </row>
    <row r="2627">
      <c r="A2627" s="5"/>
    </row>
    <row r="2628">
      <c r="A2628" s="5"/>
    </row>
    <row r="2629">
      <c r="A2629" s="5"/>
    </row>
    <row r="2630">
      <c r="A2630" s="5"/>
    </row>
    <row r="2631">
      <c r="A2631" s="5"/>
    </row>
    <row r="2632">
      <c r="A2632" s="5"/>
    </row>
    <row r="2633">
      <c r="A2633" s="5"/>
    </row>
    <row r="2634">
      <c r="A2634" s="5"/>
    </row>
    <row r="2635">
      <c r="A2635" s="5"/>
    </row>
    <row r="2636">
      <c r="A2636" s="5"/>
    </row>
    <row r="2637">
      <c r="A2637" s="5"/>
    </row>
    <row r="2638">
      <c r="A2638" s="5"/>
    </row>
    <row r="2639">
      <c r="A2639" s="5"/>
    </row>
    <row r="2640">
      <c r="A2640" s="5"/>
    </row>
    <row r="2641">
      <c r="A2641" s="5"/>
    </row>
    <row r="2642">
      <c r="A2642" s="5"/>
    </row>
    <row r="2643">
      <c r="A2643" s="5"/>
    </row>
    <row r="2644">
      <c r="A2644" s="5"/>
    </row>
    <row r="2645">
      <c r="A2645" s="5"/>
    </row>
    <row r="2646">
      <c r="A2646" s="5"/>
    </row>
    <row r="2647">
      <c r="A2647" s="5"/>
    </row>
    <row r="2648">
      <c r="A2648" s="5"/>
    </row>
    <row r="2649">
      <c r="A2649" s="5"/>
    </row>
    <row r="2650">
      <c r="A2650" s="5"/>
    </row>
    <row r="2651">
      <c r="A2651" s="5"/>
    </row>
    <row r="2652">
      <c r="A2652" s="5"/>
    </row>
    <row r="2653">
      <c r="A2653" s="5"/>
    </row>
    <row r="2654">
      <c r="A2654" s="5"/>
    </row>
    <row r="2655">
      <c r="A2655" s="5"/>
    </row>
    <row r="2656">
      <c r="A2656" s="5"/>
    </row>
    <row r="2657">
      <c r="A2657" s="5"/>
    </row>
    <row r="2658">
      <c r="A2658" s="5"/>
    </row>
    <row r="2659">
      <c r="A2659" s="5"/>
    </row>
    <row r="2660">
      <c r="A2660" s="5"/>
    </row>
    <row r="2661">
      <c r="A2661" s="5"/>
    </row>
    <row r="2662">
      <c r="A2662" s="5"/>
    </row>
    <row r="2663">
      <c r="A2663" s="5"/>
    </row>
    <row r="2664">
      <c r="A2664" s="5"/>
    </row>
    <row r="2665">
      <c r="A2665" s="5"/>
    </row>
    <row r="2666">
      <c r="A2666" s="5"/>
    </row>
    <row r="2667">
      <c r="A2667" s="5"/>
    </row>
    <row r="2668">
      <c r="A2668" s="5"/>
    </row>
    <row r="2669">
      <c r="A2669" s="5"/>
    </row>
    <row r="2670">
      <c r="A2670" s="5"/>
    </row>
    <row r="2671">
      <c r="A2671" s="5"/>
    </row>
    <row r="2672">
      <c r="A2672" s="5"/>
    </row>
    <row r="2673">
      <c r="A2673" s="5"/>
    </row>
    <row r="2674">
      <c r="A2674" s="5"/>
    </row>
    <row r="2675">
      <c r="A2675" s="5"/>
    </row>
    <row r="2676">
      <c r="A2676" s="5"/>
    </row>
    <row r="2677">
      <c r="A2677" s="5"/>
    </row>
    <row r="2678">
      <c r="A2678" s="5"/>
    </row>
    <row r="2679">
      <c r="A2679" s="5"/>
    </row>
    <row r="2680">
      <c r="A2680" s="5"/>
    </row>
    <row r="2681">
      <c r="A2681" s="5"/>
    </row>
    <row r="2682">
      <c r="A2682" s="5"/>
    </row>
    <row r="2683">
      <c r="A2683" s="5"/>
    </row>
    <row r="2684">
      <c r="A2684" s="5"/>
    </row>
    <row r="2685">
      <c r="A2685" s="5"/>
    </row>
    <row r="2686">
      <c r="A2686" s="5"/>
    </row>
    <row r="2687">
      <c r="A2687" s="5"/>
    </row>
    <row r="2688">
      <c r="A2688" s="5"/>
    </row>
    <row r="2689">
      <c r="A2689" s="5"/>
    </row>
    <row r="2690">
      <c r="A2690" s="5"/>
    </row>
    <row r="2691">
      <c r="A2691" s="5"/>
    </row>
    <row r="2692">
      <c r="A2692" s="5"/>
    </row>
    <row r="2693">
      <c r="A2693" s="5"/>
    </row>
    <row r="2694">
      <c r="A2694" s="5"/>
    </row>
    <row r="2695">
      <c r="A2695" s="5"/>
    </row>
    <row r="2696">
      <c r="A2696" s="5"/>
    </row>
    <row r="2697">
      <c r="A2697" s="5"/>
    </row>
    <row r="2698">
      <c r="A2698" s="5"/>
    </row>
    <row r="2699">
      <c r="A2699" s="5"/>
    </row>
    <row r="2700">
      <c r="A2700" s="5"/>
    </row>
    <row r="2701">
      <c r="A2701" s="5"/>
    </row>
    <row r="2702">
      <c r="A2702" s="5"/>
    </row>
    <row r="2703">
      <c r="A2703" s="5"/>
    </row>
    <row r="2704">
      <c r="A2704" s="5"/>
    </row>
    <row r="2705">
      <c r="A2705" s="5"/>
    </row>
    <row r="2706">
      <c r="A2706" s="5"/>
    </row>
    <row r="2707">
      <c r="A2707" s="5"/>
    </row>
    <row r="2708">
      <c r="A2708" s="5"/>
    </row>
    <row r="2709">
      <c r="A2709" s="5"/>
    </row>
    <row r="2710">
      <c r="A2710" s="5"/>
    </row>
    <row r="2711">
      <c r="A2711" s="5"/>
    </row>
    <row r="2712">
      <c r="A2712" s="5"/>
    </row>
    <row r="2713">
      <c r="A2713" s="5"/>
    </row>
    <row r="2714">
      <c r="A2714" s="5"/>
    </row>
    <row r="2715">
      <c r="A2715" s="5"/>
    </row>
    <row r="2716">
      <c r="A2716" s="5"/>
    </row>
    <row r="2717">
      <c r="A2717" s="5"/>
    </row>
    <row r="2718">
      <c r="A2718" s="5"/>
    </row>
    <row r="2719">
      <c r="A2719" s="5"/>
    </row>
    <row r="2720">
      <c r="A2720" s="5"/>
    </row>
    <row r="2721">
      <c r="A2721" s="5"/>
    </row>
    <row r="2722">
      <c r="A2722" s="5"/>
    </row>
    <row r="2723">
      <c r="A2723" s="5"/>
    </row>
    <row r="2724">
      <c r="A2724" s="5"/>
      <c r="M2724" s="48"/>
    </row>
    <row r="2725">
      <c r="A2725" s="5"/>
      <c r="M2725" s="48"/>
    </row>
    <row r="2726">
      <c r="A2726" s="5"/>
      <c r="M2726" s="48"/>
    </row>
    <row r="2727">
      <c r="A2727" s="5"/>
      <c r="M2727" s="48"/>
    </row>
    <row r="2728">
      <c r="A2728" s="5"/>
      <c r="M2728" s="48"/>
    </row>
    <row r="2729">
      <c r="A2729" s="5"/>
      <c r="M2729" s="48"/>
    </row>
    <row r="2730">
      <c r="A2730" s="5"/>
      <c r="M2730" s="48"/>
    </row>
    <row r="2731">
      <c r="A2731" s="5"/>
      <c r="M2731" s="48"/>
    </row>
    <row r="2732">
      <c r="A2732" s="5"/>
    </row>
    <row r="2733">
      <c r="A2733" s="5"/>
      <c r="M2733" s="48"/>
    </row>
    <row r="2734">
      <c r="A2734" s="5"/>
      <c r="M2734" s="48"/>
    </row>
    <row r="2735">
      <c r="A2735" s="5"/>
      <c r="M2735" s="48"/>
    </row>
    <row r="2736">
      <c r="A2736" s="5"/>
      <c r="M2736" s="48"/>
    </row>
    <row r="2737">
      <c r="A2737" s="5"/>
    </row>
    <row r="2738">
      <c r="A2738" s="5"/>
    </row>
    <row r="2739">
      <c r="A2739" s="5"/>
    </row>
    <row r="2740">
      <c r="A2740" s="5"/>
    </row>
    <row r="2741">
      <c r="A2741" s="5"/>
    </row>
    <row r="2742">
      <c r="A2742" s="5"/>
    </row>
    <row r="2743">
      <c r="A2743" s="5"/>
    </row>
    <row r="2744">
      <c r="A2744" s="5"/>
    </row>
    <row r="2745">
      <c r="A2745" s="5"/>
    </row>
    <row r="2746">
      <c r="A2746" s="5"/>
    </row>
    <row r="2747">
      <c r="A2747" s="5"/>
      <c r="M2747" s="48"/>
    </row>
    <row r="2748">
      <c r="A2748" s="5"/>
    </row>
    <row r="2749">
      <c r="A2749" s="5"/>
    </row>
    <row r="2750">
      <c r="A2750" s="5"/>
    </row>
    <row r="2751">
      <c r="A2751" s="5"/>
    </row>
    <row r="2752">
      <c r="A2752" s="5"/>
      <c r="M2752" s="48"/>
    </row>
    <row r="2753">
      <c r="A2753" s="5"/>
    </row>
    <row r="2754">
      <c r="A2754" s="5"/>
    </row>
    <row r="2755">
      <c r="A2755" s="5"/>
    </row>
    <row r="2756">
      <c r="A2756" s="5"/>
    </row>
    <row r="2757">
      <c r="A2757" s="5"/>
    </row>
    <row r="2758">
      <c r="A2758" s="5"/>
    </row>
    <row r="2759">
      <c r="A2759" s="5"/>
    </row>
    <row r="2760">
      <c r="A2760" s="5"/>
    </row>
    <row r="2761">
      <c r="A2761" s="5"/>
    </row>
    <row r="2762">
      <c r="A2762" s="5"/>
    </row>
    <row r="2763">
      <c r="A2763" s="5"/>
    </row>
    <row r="2764">
      <c r="A2764" s="5"/>
    </row>
    <row r="2765">
      <c r="A2765" s="5"/>
    </row>
    <row r="2766">
      <c r="A2766" s="5"/>
    </row>
    <row r="2767">
      <c r="A2767" s="5"/>
    </row>
    <row r="2768">
      <c r="A2768" s="5"/>
      <c r="M2768" s="48"/>
    </row>
    <row r="2769">
      <c r="A2769" s="5"/>
    </row>
    <row r="2770">
      <c r="A2770" s="5"/>
    </row>
    <row r="2771">
      <c r="A2771" s="5"/>
    </row>
    <row r="2772">
      <c r="A2772" s="5"/>
    </row>
    <row r="2773">
      <c r="A2773" s="5"/>
    </row>
    <row r="2774">
      <c r="A2774" s="5"/>
      <c r="M2774" s="48"/>
    </row>
    <row r="2775">
      <c r="A2775" s="5"/>
    </row>
    <row r="2776">
      <c r="A2776" s="5"/>
    </row>
    <row r="2777">
      <c r="A2777" s="5"/>
    </row>
    <row r="2778">
      <c r="A2778" s="5"/>
    </row>
    <row r="2779">
      <c r="A2779" s="5"/>
    </row>
    <row r="2780">
      <c r="A2780" s="5"/>
    </row>
    <row r="2781">
      <c r="A2781" s="5"/>
    </row>
    <row r="2782">
      <c r="A2782" s="5"/>
    </row>
    <row r="2783">
      <c r="A2783" s="5"/>
    </row>
    <row r="2784">
      <c r="A2784" s="5"/>
    </row>
    <row r="2785">
      <c r="A2785" s="5"/>
    </row>
    <row r="2786">
      <c r="A2786" s="5"/>
    </row>
    <row r="2787">
      <c r="A2787" s="5"/>
    </row>
    <row r="2788">
      <c r="A2788" s="5"/>
    </row>
    <row r="2789">
      <c r="A2789" s="5"/>
      <c r="M2789" s="48"/>
    </row>
    <row r="2790">
      <c r="A2790" s="5"/>
    </row>
    <row r="2791">
      <c r="A2791" s="5"/>
    </row>
    <row r="2792">
      <c r="A2792" s="5"/>
    </row>
    <row r="2793">
      <c r="A2793" s="5"/>
    </row>
    <row r="2794">
      <c r="A2794" s="5"/>
    </row>
    <row r="2795">
      <c r="A2795" s="5"/>
    </row>
    <row r="2796">
      <c r="A2796" s="5"/>
    </row>
    <row r="2797">
      <c r="A2797" s="5"/>
    </row>
    <row r="2798">
      <c r="A2798" s="5"/>
    </row>
    <row r="2799">
      <c r="A2799" s="5"/>
    </row>
    <row r="2800">
      <c r="A2800" s="5"/>
    </row>
    <row r="2801">
      <c r="A2801" s="5"/>
    </row>
    <row r="2802">
      <c r="A2802" s="5"/>
    </row>
    <row r="2803">
      <c r="A2803" s="5"/>
    </row>
    <row r="2804">
      <c r="A2804" s="5"/>
      <c r="M2804" s="48"/>
    </row>
    <row r="2805">
      <c r="A2805" s="5"/>
    </row>
    <row r="2806">
      <c r="A2806" s="5"/>
    </row>
    <row r="2807">
      <c r="A2807" s="5"/>
    </row>
    <row r="2808">
      <c r="A2808" s="5"/>
      <c r="M2808" s="48"/>
    </row>
    <row r="2809">
      <c r="A2809" s="5"/>
    </row>
    <row r="2810">
      <c r="A2810" s="5"/>
      <c r="M2810" s="48"/>
    </row>
    <row r="2811">
      <c r="A2811" s="5"/>
    </row>
    <row r="2812">
      <c r="A2812" s="5"/>
    </row>
    <row r="2813">
      <c r="A2813" s="5"/>
    </row>
    <row r="2814">
      <c r="A2814" s="5"/>
    </row>
    <row r="2815">
      <c r="A2815" s="5"/>
    </row>
    <row r="2816">
      <c r="A2816" s="5"/>
    </row>
    <row r="2817">
      <c r="A2817" s="5"/>
    </row>
    <row r="2818">
      <c r="A2818" s="5"/>
    </row>
    <row r="2819">
      <c r="A2819" s="5"/>
    </row>
    <row r="2820">
      <c r="A2820" s="5"/>
    </row>
    <row r="2821">
      <c r="A2821" s="5"/>
    </row>
    <row r="2822">
      <c r="A2822" s="5"/>
    </row>
    <row r="2823">
      <c r="A2823" s="5"/>
    </row>
    <row r="2824">
      <c r="A2824" s="5"/>
    </row>
    <row r="2825">
      <c r="A2825" s="5"/>
    </row>
    <row r="2826">
      <c r="A2826" s="5"/>
    </row>
    <row r="2827">
      <c r="A2827" s="5"/>
    </row>
    <row r="2828">
      <c r="A2828" s="5"/>
    </row>
    <row r="2829">
      <c r="A2829" s="5"/>
    </row>
    <row r="2830">
      <c r="A2830" s="5"/>
    </row>
    <row r="2831">
      <c r="A2831" s="5"/>
    </row>
    <row r="2832">
      <c r="A2832" s="5"/>
    </row>
    <row r="2833">
      <c r="A2833" s="5"/>
    </row>
    <row r="2834">
      <c r="A2834" s="5"/>
    </row>
    <row r="2835">
      <c r="A2835" s="5"/>
    </row>
    <row r="2836">
      <c r="A2836" s="5"/>
    </row>
    <row r="2837">
      <c r="A2837" s="5"/>
    </row>
    <row r="2838">
      <c r="A2838" s="5"/>
    </row>
    <row r="2839">
      <c r="A2839" s="5"/>
    </row>
    <row r="2840">
      <c r="A2840" s="5"/>
    </row>
    <row r="2841">
      <c r="A2841" s="5"/>
    </row>
    <row r="2842">
      <c r="A2842" s="5"/>
    </row>
    <row r="2843">
      <c r="A2843" s="5"/>
    </row>
    <row r="2844">
      <c r="A2844" s="5"/>
    </row>
    <row r="2845">
      <c r="A2845" s="5"/>
    </row>
    <row r="2846">
      <c r="A2846" s="5"/>
    </row>
    <row r="2847">
      <c r="A2847" s="5"/>
    </row>
    <row r="2848">
      <c r="A2848" s="5"/>
    </row>
    <row r="2849">
      <c r="A2849" s="5"/>
    </row>
    <row r="2850">
      <c r="A2850" s="5"/>
    </row>
    <row r="2851">
      <c r="A2851" s="5"/>
    </row>
    <row r="2852">
      <c r="A2852" s="5"/>
    </row>
    <row r="2853">
      <c r="A2853" s="5"/>
    </row>
    <row r="2854">
      <c r="A2854" s="5"/>
    </row>
    <row r="2855">
      <c r="A2855" s="5"/>
    </row>
    <row r="2856">
      <c r="A2856" s="5"/>
    </row>
    <row r="2857">
      <c r="A2857" s="5"/>
    </row>
    <row r="2858">
      <c r="A2858" s="5"/>
    </row>
    <row r="2859">
      <c r="A2859" s="5"/>
    </row>
    <row r="2860">
      <c r="A2860" s="5"/>
    </row>
    <row r="2861">
      <c r="A2861" s="5"/>
    </row>
    <row r="2862">
      <c r="A2862" s="5"/>
    </row>
    <row r="2863">
      <c r="A2863" s="5"/>
    </row>
    <row r="2864">
      <c r="A2864" s="5"/>
    </row>
    <row r="2865">
      <c r="A2865" s="5"/>
    </row>
    <row r="2866">
      <c r="A2866" s="5"/>
    </row>
    <row r="2867">
      <c r="A2867" s="5"/>
    </row>
    <row r="2868">
      <c r="A2868" s="5"/>
    </row>
    <row r="2869">
      <c r="A2869" s="5"/>
    </row>
    <row r="2870">
      <c r="A2870" s="5"/>
    </row>
    <row r="2871">
      <c r="A2871" s="5"/>
    </row>
    <row r="2872">
      <c r="A2872" s="5"/>
    </row>
    <row r="2873">
      <c r="A2873" s="5"/>
    </row>
    <row r="2874">
      <c r="A2874" s="5"/>
    </row>
    <row r="2875">
      <c r="A2875" s="5"/>
    </row>
    <row r="2876">
      <c r="A2876" s="5"/>
    </row>
    <row r="2877">
      <c r="A2877" s="5"/>
    </row>
    <row r="2878">
      <c r="A2878" s="5"/>
    </row>
    <row r="2879">
      <c r="A2879" s="5"/>
    </row>
    <row r="2880">
      <c r="A2880" s="5"/>
    </row>
    <row r="2881">
      <c r="A2881" s="5"/>
    </row>
    <row r="2882">
      <c r="A2882" s="5"/>
    </row>
    <row r="2883">
      <c r="A2883" s="5"/>
    </row>
    <row r="2884">
      <c r="A2884" s="5"/>
    </row>
    <row r="2885">
      <c r="A2885" s="5"/>
    </row>
    <row r="2886">
      <c r="A2886" s="5"/>
    </row>
    <row r="2887">
      <c r="A2887" s="5"/>
    </row>
    <row r="2888">
      <c r="A2888" s="5"/>
    </row>
    <row r="2889">
      <c r="A2889" s="5"/>
    </row>
    <row r="2890">
      <c r="A2890" s="5"/>
    </row>
    <row r="2891">
      <c r="A2891" s="5"/>
    </row>
    <row r="2892">
      <c r="A2892" s="5"/>
    </row>
    <row r="2893">
      <c r="A2893" s="5"/>
    </row>
    <row r="2894">
      <c r="A2894" s="5"/>
    </row>
    <row r="2895">
      <c r="A2895" s="5"/>
    </row>
    <row r="2896">
      <c r="A2896" s="5"/>
    </row>
    <row r="2897">
      <c r="A2897" s="5"/>
    </row>
    <row r="2898">
      <c r="A2898" s="5"/>
    </row>
    <row r="2899">
      <c r="A2899" s="5"/>
    </row>
    <row r="2900">
      <c r="A2900" s="5"/>
    </row>
    <row r="2901">
      <c r="A2901" s="5"/>
    </row>
    <row r="2902">
      <c r="A2902" s="5"/>
    </row>
    <row r="2903">
      <c r="A2903" s="5"/>
    </row>
    <row r="2904">
      <c r="A2904" s="5"/>
    </row>
    <row r="2905">
      <c r="A2905" s="5"/>
    </row>
    <row r="2906">
      <c r="A2906" s="5"/>
    </row>
    <row r="2907">
      <c r="A2907" s="5"/>
    </row>
    <row r="2908">
      <c r="A2908" s="5"/>
    </row>
    <row r="2909">
      <c r="A2909" s="5"/>
    </row>
    <row r="2910">
      <c r="A2910" s="5"/>
    </row>
    <row r="2911">
      <c r="A2911" s="5"/>
    </row>
    <row r="2912">
      <c r="A2912" s="5"/>
    </row>
    <row r="2913">
      <c r="A2913" s="5"/>
    </row>
    <row r="2914">
      <c r="A2914" s="5"/>
    </row>
    <row r="2915">
      <c r="A2915" s="5"/>
    </row>
    <row r="2916">
      <c r="A2916" s="5"/>
    </row>
    <row r="2917">
      <c r="A2917" s="5"/>
    </row>
    <row r="2918">
      <c r="A2918" s="5"/>
    </row>
    <row r="2919">
      <c r="A2919" s="5"/>
    </row>
    <row r="2920">
      <c r="A2920" s="5"/>
    </row>
    <row r="2921">
      <c r="A2921" s="5"/>
    </row>
    <row r="2922">
      <c r="A2922" s="5"/>
    </row>
    <row r="2923">
      <c r="A2923" s="5"/>
    </row>
    <row r="2924">
      <c r="A2924" s="5"/>
    </row>
    <row r="2925">
      <c r="A2925" s="5"/>
    </row>
    <row r="2926">
      <c r="A2926" s="5"/>
    </row>
    <row r="2927">
      <c r="A2927" s="5"/>
    </row>
    <row r="2928">
      <c r="A2928" s="5"/>
    </row>
    <row r="2929">
      <c r="A2929" s="5"/>
    </row>
    <row r="2930">
      <c r="A2930" s="5"/>
    </row>
    <row r="2931">
      <c r="A2931" s="5"/>
    </row>
    <row r="2932">
      <c r="A2932" s="5"/>
    </row>
    <row r="2933">
      <c r="A2933" s="5"/>
    </row>
    <row r="2934">
      <c r="A2934" s="5"/>
    </row>
    <row r="2935">
      <c r="A2935" s="5"/>
    </row>
    <row r="2936">
      <c r="A2936" s="5"/>
      <c r="M2936" s="48"/>
    </row>
    <row r="2937">
      <c r="A2937" s="5"/>
    </row>
    <row r="2938">
      <c r="A2938" s="5"/>
    </row>
    <row r="2939">
      <c r="A2939" s="5"/>
    </row>
    <row r="2940">
      <c r="A2940" s="5"/>
    </row>
    <row r="2941">
      <c r="A2941" s="5"/>
    </row>
    <row r="2942">
      <c r="A2942" s="5"/>
      <c r="M2942" s="48"/>
    </row>
    <row r="2943">
      <c r="A2943" s="5"/>
    </row>
    <row r="2944">
      <c r="A2944" s="5"/>
    </row>
    <row r="2945">
      <c r="A2945" s="5"/>
    </row>
    <row r="2946">
      <c r="A2946" s="5"/>
    </row>
    <row r="2947">
      <c r="A2947" s="5"/>
    </row>
    <row r="2948">
      <c r="A2948" s="5"/>
    </row>
    <row r="2949">
      <c r="A2949" s="5"/>
    </row>
    <row r="2950">
      <c r="A2950" s="5"/>
    </row>
    <row r="2951">
      <c r="A2951" s="5"/>
    </row>
    <row r="2952">
      <c r="A2952" s="5"/>
    </row>
    <row r="2953">
      <c r="A2953" s="5"/>
    </row>
    <row r="2954">
      <c r="A2954" s="5"/>
    </row>
    <row r="2955">
      <c r="A2955" s="5"/>
    </row>
    <row r="2956">
      <c r="A2956" s="5"/>
    </row>
    <row r="2957">
      <c r="A2957" s="5"/>
    </row>
    <row r="2958">
      <c r="A2958" s="5"/>
      <c r="M2958" s="48"/>
    </row>
    <row r="2959">
      <c r="A2959" s="5"/>
    </row>
    <row r="2960">
      <c r="A2960" s="5"/>
    </row>
    <row r="2961">
      <c r="A2961" s="5"/>
    </row>
    <row r="2962">
      <c r="A2962" s="5"/>
    </row>
    <row r="2963">
      <c r="A2963" s="5"/>
      <c r="M2963" s="48"/>
    </row>
    <row r="2964">
      <c r="A2964" s="5"/>
    </row>
    <row r="2965">
      <c r="A2965" s="5"/>
    </row>
    <row r="2966">
      <c r="A2966" s="5"/>
    </row>
    <row r="2967">
      <c r="A2967" s="5"/>
    </row>
    <row r="2968">
      <c r="A2968" s="5"/>
    </row>
    <row r="2969">
      <c r="A2969" s="5"/>
    </row>
    <row r="2970">
      <c r="A2970" s="5"/>
    </row>
    <row r="2971">
      <c r="A2971" s="5"/>
    </row>
    <row r="2972">
      <c r="A2972" s="5"/>
    </row>
    <row r="2973">
      <c r="A2973" s="5"/>
    </row>
    <row r="2974">
      <c r="A2974" s="5"/>
    </row>
    <row r="2975">
      <c r="A2975" s="5"/>
    </row>
    <row r="2976">
      <c r="A2976" s="5"/>
    </row>
    <row r="2977">
      <c r="A2977" s="5"/>
    </row>
    <row r="2978">
      <c r="A2978" s="5"/>
    </row>
    <row r="2979">
      <c r="A2979" s="5"/>
    </row>
    <row r="2980">
      <c r="A2980" s="5"/>
    </row>
    <row r="2981">
      <c r="A2981" s="5"/>
    </row>
    <row r="2982">
      <c r="A2982" s="5"/>
    </row>
    <row r="2983">
      <c r="A2983" s="5"/>
    </row>
    <row r="2984">
      <c r="A2984" s="5"/>
    </row>
    <row r="2985">
      <c r="A2985" s="5"/>
    </row>
    <row r="2986">
      <c r="A2986" s="5"/>
    </row>
    <row r="2987">
      <c r="A2987" s="5"/>
    </row>
    <row r="2988">
      <c r="A2988" s="5"/>
    </row>
    <row r="2989">
      <c r="A2989" s="5"/>
    </row>
    <row r="2990">
      <c r="A2990" s="5"/>
    </row>
    <row r="2991">
      <c r="A2991" s="5"/>
    </row>
    <row r="2992">
      <c r="A2992" s="5"/>
    </row>
    <row r="2993">
      <c r="A2993" s="5"/>
    </row>
    <row r="2994">
      <c r="A2994" s="5"/>
    </row>
    <row r="2995">
      <c r="A2995" s="5"/>
    </row>
    <row r="2996">
      <c r="A2996" s="5"/>
    </row>
    <row r="2997">
      <c r="A2997" s="5"/>
    </row>
    <row r="2998">
      <c r="A2998" s="5"/>
    </row>
    <row r="2999">
      <c r="A2999" s="5"/>
    </row>
    <row r="3000">
      <c r="A3000" s="5"/>
    </row>
    <row r="3001">
      <c r="A3001" s="5"/>
    </row>
    <row r="3002">
      <c r="A3002" s="5"/>
    </row>
    <row r="3003">
      <c r="A3003" s="5"/>
    </row>
    <row r="3004">
      <c r="A3004" s="5"/>
    </row>
    <row r="3005">
      <c r="A3005" s="5"/>
    </row>
    <row r="3006">
      <c r="A3006" s="5"/>
    </row>
    <row r="3007">
      <c r="A3007" s="5"/>
    </row>
    <row r="3008">
      <c r="A3008" s="5"/>
    </row>
    <row r="3009">
      <c r="A3009" s="5"/>
    </row>
    <row r="3010">
      <c r="A3010" s="5"/>
    </row>
    <row r="3011">
      <c r="A3011" s="5"/>
    </row>
    <row r="3012">
      <c r="A3012" s="5"/>
    </row>
    <row r="3013">
      <c r="A3013" s="5"/>
    </row>
    <row r="3014">
      <c r="A3014" s="5"/>
    </row>
    <row r="3015">
      <c r="A3015" s="5"/>
    </row>
    <row r="3016">
      <c r="A3016" s="5"/>
    </row>
    <row r="3017">
      <c r="A3017" s="5"/>
    </row>
    <row r="3018">
      <c r="A3018" s="5"/>
    </row>
    <row r="3019">
      <c r="A3019" s="5"/>
    </row>
    <row r="3020">
      <c r="A3020" s="5"/>
    </row>
    <row r="3021">
      <c r="A3021" s="5"/>
    </row>
    <row r="3022">
      <c r="A3022" s="5"/>
    </row>
    <row r="3023">
      <c r="A3023" s="5"/>
    </row>
    <row r="3024">
      <c r="A3024" s="5"/>
    </row>
    <row r="3025">
      <c r="A3025" s="5"/>
    </row>
    <row r="3026">
      <c r="A3026" s="5"/>
    </row>
    <row r="3027">
      <c r="A3027" s="5"/>
    </row>
    <row r="3028">
      <c r="A3028" s="5"/>
    </row>
    <row r="3029">
      <c r="A3029" s="5"/>
    </row>
    <row r="3030">
      <c r="A3030" s="5"/>
    </row>
    <row r="3031">
      <c r="A3031" s="5"/>
    </row>
    <row r="3032">
      <c r="A3032" s="5"/>
    </row>
    <row r="3033">
      <c r="A3033" s="5"/>
    </row>
    <row r="3034">
      <c r="A3034" s="5"/>
    </row>
    <row r="3035">
      <c r="A3035" s="5"/>
    </row>
    <row r="3036">
      <c r="A3036" s="5"/>
    </row>
    <row r="3037">
      <c r="A3037" s="5"/>
    </row>
    <row r="3038">
      <c r="A3038" s="5"/>
    </row>
    <row r="3039">
      <c r="A3039" s="5"/>
    </row>
    <row r="3040">
      <c r="A3040" s="5"/>
    </row>
    <row r="3041">
      <c r="A3041" s="5"/>
    </row>
    <row r="3042">
      <c r="A3042" s="5"/>
    </row>
    <row r="3043">
      <c r="A3043" s="5"/>
    </row>
    <row r="3044">
      <c r="A3044" s="5"/>
    </row>
    <row r="3045">
      <c r="A3045" s="5"/>
    </row>
    <row r="3046">
      <c r="A3046" s="5"/>
    </row>
    <row r="3047">
      <c r="A3047" s="5"/>
    </row>
    <row r="3048">
      <c r="A3048" s="5"/>
    </row>
    <row r="3049">
      <c r="A3049" s="5"/>
    </row>
    <row r="3050">
      <c r="A3050" s="5"/>
    </row>
    <row r="3051">
      <c r="A3051" s="5"/>
    </row>
    <row r="3052">
      <c r="A3052" s="5"/>
    </row>
    <row r="3053">
      <c r="A3053" s="5"/>
    </row>
    <row r="3054">
      <c r="A3054" s="5"/>
    </row>
    <row r="3055">
      <c r="A3055" s="5"/>
    </row>
    <row r="3056">
      <c r="A3056" s="5"/>
    </row>
    <row r="3057">
      <c r="A3057" s="5"/>
    </row>
    <row r="3058">
      <c r="A3058" s="5"/>
    </row>
    <row r="3059">
      <c r="A3059" s="5"/>
    </row>
    <row r="3060">
      <c r="A3060" s="5"/>
    </row>
    <row r="3061">
      <c r="A3061" s="5"/>
    </row>
    <row r="3062">
      <c r="A3062" s="5"/>
    </row>
    <row r="3063">
      <c r="A3063" s="5"/>
    </row>
    <row r="3064">
      <c r="A3064" s="5"/>
      <c r="M3064" s="48"/>
    </row>
    <row r="3065">
      <c r="A3065" s="5"/>
    </row>
    <row r="3066">
      <c r="A3066" s="5"/>
    </row>
    <row r="3067">
      <c r="A3067" s="5"/>
    </row>
    <row r="3068">
      <c r="A3068" s="5"/>
    </row>
    <row r="3069">
      <c r="A3069" s="5"/>
    </row>
    <row r="3070">
      <c r="A3070" s="5"/>
    </row>
    <row r="3071">
      <c r="A3071" s="5"/>
    </row>
    <row r="3072">
      <c r="A3072" s="5"/>
    </row>
    <row r="3073">
      <c r="A3073" s="5"/>
    </row>
    <row r="3074">
      <c r="A3074" s="5"/>
    </row>
    <row r="3075">
      <c r="A3075" s="5"/>
    </row>
    <row r="3076">
      <c r="A3076" s="5"/>
    </row>
    <row r="3077">
      <c r="A3077" s="5"/>
      <c r="M3077" s="48"/>
    </row>
    <row r="3078">
      <c r="A3078" s="5"/>
    </row>
    <row r="3079">
      <c r="A3079" s="5"/>
    </row>
    <row r="3080">
      <c r="A3080" s="5"/>
    </row>
    <row r="3081">
      <c r="A3081" s="5"/>
    </row>
    <row r="3082">
      <c r="A3082" s="5"/>
    </row>
    <row r="3083">
      <c r="A3083" s="5"/>
    </row>
    <row r="3084">
      <c r="A3084" s="5"/>
    </row>
    <row r="3085">
      <c r="A3085" s="5"/>
    </row>
    <row r="3086">
      <c r="A3086" s="5"/>
    </row>
    <row r="3087">
      <c r="A3087" s="5"/>
    </row>
    <row r="3088">
      <c r="A3088" s="5"/>
    </row>
    <row r="3089">
      <c r="A3089" s="5"/>
    </row>
    <row r="3090">
      <c r="A3090" s="5"/>
    </row>
    <row r="3091">
      <c r="A3091" s="5"/>
    </row>
    <row r="3092">
      <c r="A3092" s="5"/>
    </row>
    <row r="3093">
      <c r="A3093" s="5"/>
    </row>
    <row r="3094">
      <c r="A3094" s="5"/>
    </row>
    <row r="3095">
      <c r="A3095" s="5"/>
    </row>
    <row r="3096">
      <c r="A3096" s="5"/>
    </row>
    <row r="3097">
      <c r="A3097" s="5"/>
    </row>
    <row r="3098">
      <c r="A3098" s="5"/>
    </row>
    <row r="3099">
      <c r="A3099" s="5"/>
    </row>
    <row r="3100">
      <c r="A3100" s="5"/>
    </row>
    <row r="3101">
      <c r="A3101" s="5"/>
    </row>
    <row r="3102">
      <c r="A3102" s="5"/>
    </row>
    <row r="3103">
      <c r="A3103" s="5"/>
    </row>
    <row r="3104">
      <c r="A3104" s="5"/>
    </row>
    <row r="3105">
      <c r="A3105" s="5"/>
    </row>
    <row r="3106">
      <c r="A3106" s="5"/>
    </row>
    <row r="3107">
      <c r="A3107" s="5"/>
    </row>
    <row r="3108">
      <c r="A3108" s="5"/>
    </row>
    <row r="3109">
      <c r="A3109" s="5"/>
    </row>
    <row r="3110">
      <c r="A3110" s="5"/>
    </row>
    <row r="3111">
      <c r="A3111" s="5"/>
    </row>
    <row r="3112">
      <c r="A3112" s="5"/>
    </row>
    <row r="3113">
      <c r="A3113" s="5"/>
    </row>
    <row r="3114">
      <c r="A3114" s="5"/>
      <c r="M3114" s="48"/>
    </row>
    <row r="3115">
      <c r="A3115" s="5"/>
    </row>
    <row r="3116">
      <c r="A3116" s="5"/>
      <c r="M3116" s="48"/>
    </row>
    <row r="3117">
      <c r="A3117" s="5"/>
    </row>
    <row r="3118">
      <c r="A3118" s="5"/>
    </row>
    <row r="3119">
      <c r="A3119" s="5"/>
    </row>
    <row r="3120">
      <c r="A3120" s="5"/>
    </row>
    <row r="3121">
      <c r="A3121" s="5"/>
    </row>
    <row r="3122">
      <c r="A3122" s="5"/>
    </row>
    <row r="3123">
      <c r="A3123" s="5"/>
    </row>
    <row r="3124">
      <c r="A3124" s="5"/>
    </row>
    <row r="3125">
      <c r="A3125" s="5"/>
    </row>
    <row r="3126">
      <c r="A3126" s="5"/>
    </row>
    <row r="3127">
      <c r="A3127" s="5"/>
    </row>
    <row r="3128">
      <c r="A3128" s="5"/>
    </row>
    <row r="3129">
      <c r="A3129" s="5"/>
    </row>
    <row r="3130">
      <c r="A3130" s="5"/>
    </row>
    <row r="3131">
      <c r="A3131" s="5"/>
    </row>
    <row r="3132">
      <c r="A3132" s="5"/>
    </row>
    <row r="3133">
      <c r="A3133" s="5"/>
    </row>
    <row r="3134">
      <c r="A3134" s="5"/>
    </row>
    <row r="3135">
      <c r="A3135" s="5"/>
    </row>
    <row r="3136">
      <c r="A3136" s="5"/>
    </row>
    <row r="3137">
      <c r="A3137" s="5"/>
    </row>
    <row r="3138">
      <c r="A3138" s="5"/>
    </row>
    <row r="3139">
      <c r="A3139" s="5"/>
    </row>
    <row r="3140">
      <c r="A3140" s="5"/>
    </row>
    <row r="3141">
      <c r="A3141" s="5"/>
    </row>
    <row r="3142">
      <c r="A3142" s="5"/>
    </row>
    <row r="3143">
      <c r="A3143" s="5"/>
    </row>
    <row r="3144">
      <c r="A3144" s="5"/>
    </row>
    <row r="3145">
      <c r="A3145" s="5"/>
    </row>
    <row r="3146">
      <c r="A3146" s="5"/>
    </row>
    <row r="3147">
      <c r="A3147" s="5"/>
      <c r="M3147" s="48"/>
    </row>
    <row r="3148">
      <c r="A3148" s="5"/>
      <c r="M3148" s="48"/>
    </row>
    <row r="3149">
      <c r="A3149" s="5"/>
    </row>
    <row r="3150">
      <c r="A3150" s="5"/>
    </row>
    <row r="3151">
      <c r="A3151" s="5"/>
    </row>
    <row r="3152">
      <c r="A3152" s="5"/>
    </row>
    <row r="3153">
      <c r="A3153" s="5"/>
    </row>
    <row r="3154">
      <c r="A3154" s="5"/>
    </row>
    <row r="3155">
      <c r="A3155" s="5"/>
    </row>
    <row r="3156">
      <c r="A3156" s="5"/>
    </row>
    <row r="3157">
      <c r="A3157" s="5"/>
      <c r="M3157" s="48"/>
    </row>
    <row r="3158">
      <c r="A3158" s="5"/>
      <c r="M3158" s="48"/>
    </row>
    <row r="3159">
      <c r="A3159" s="5"/>
      <c r="M3159" s="48"/>
    </row>
    <row r="3160">
      <c r="A3160" s="5"/>
      <c r="M3160" s="48"/>
    </row>
    <row r="3161">
      <c r="A3161" s="5"/>
      <c r="M3161" s="48"/>
    </row>
    <row r="3162">
      <c r="A3162" s="5"/>
      <c r="M3162" s="48"/>
    </row>
    <row r="3163">
      <c r="A3163" s="5"/>
    </row>
    <row r="3164">
      <c r="A3164" s="5"/>
      <c r="M3164" s="48"/>
    </row>
    <row r="3165">
      <c r="A3165" s="5"/>
      <c r="M3165" s="48"/>
    </row>
    <row r="3166">
      <c r="A3166" s="5"/>
    </row>
    <row r="3167">
      <c r="A3167" s="5"/>
      <c r="M3167" s="48"/>
    </row>
    <row r="3168">
      <c r="A3168" s="5"/>
      <c r="M3168" s="48"/>
    </row>
    <row r="3169">
      <c r="A3169" s="5"/>
      <c r="M3169" s="48"/>
    </row>
    <row r="3170">
      <c r="A3170" s="5"/>
    </row>
    <row r="3171">
      <c r="A3171" s="5"/>
    </row>
    <row r="3172">
      <c r="A3172" s="5"/>
    </row>
    <row r="3173">
      <c r="A3173" s="5"/>
    </row>
    <row r="3174">
      <c r="A3174" s="5"/>
    </row>
    <row r="3175">
      <c r="A3175" s="5"/>
    </row>
    <row r="3176">
      <c r="A3176" s="5"/>
    </row>
    <row r="3177">
      <c r="A3177" s="5"/>
    </row>
    <row r="3178">
      <c r="A3178" s="5"/>
    </row>
    <row r="3179">
      <c r="A3179" s="5"/>
    </row>
    <row r="3180">
      <c r="A3180" s="5"/>
    </row>
    <row r="3181">
      <c r="A3181" s="5"/>
    </row>
    <row r="3182">
      <c r="A3182" s="5"/>
    </row>
    <row r="3183">
      <c r="A3183" s="5"/>
    </row>
    <row r="3184">
      <c r="A3184" s="5"/>
    </row>
    <row r="3185">
      <c r="A3185" s="5"/>
    </row>
    <row r="3186">
      <c r="A3186" s="5"/>
    </row>
    <row r="3187">
      <c r="A3187" s="5"/>
    </row>
    <row r="3188">
      <c r="A3188" s="5"/>
      <c r="M3188" s="48"/>
    </row>
    <row r="3189">
      <c r="A3189" s="5"/>
      <c r="M3189" s="48"/>
    </row>
    <row r="3190">
      <c r="A3190" s="5"/>
      <c r="M3190" s="48"/>
    </row>
    <row r="3191">
      <c r="A3191" s="5"/>
      <c r="M3191" s="48"/>
    </row>
    <row r="3192">
      <c r="A3192" s="5"/>
      <c r="M3192" s="48"/>
    </row>
    <row r="3193">
      <c r="A3193" s="5"/>
      <c r="M3193" s="48"/>
    </row>
    <row r="3194">
      <c r="A3194" s="5"/>
      <c r="M3194" s="48"/>
    </row>
    <row r="3195">
      <c r="A3195" s="5"/>
    </row>
    <row r="3196">
      <c r="A3196" s="5"/>
      <c r="M3196" s="48"/>
    </row>
    <row r="3197">
      <c r="A3197" s="5"/>
    </row>
    <row r="3198">
      <c r="A3198" s="5"/>
      <c r="M3198" s="48"/>
    </row>
    <row r="3199">
      <c r="A3199" s="5"/>
      <c r="M3199" s="48"/>
    </row>
    <row r="3200">
      <c r="A3200" s="5"/>
    </row>
    <row r="3201">
      <c r="A3201" s="5"/>
    </row>
    <row r="3202">
      <c r="A3202" s="5"/>
    </row>
    <row r="3203">
      <c r="A3203" s="5"/>
    </row>
    <row r="3204">
      <c r="A3204" s="5"/>
    </row>
    <row r="3205">
      <c r="A3205" s="5"/>
    </row>
    <row r="3206">
      <c r="A3206" s="5"/>
    </row>
    <row r="3207">
      <c r="A3207" s="5"/>
    </row>
    <row r="3208">
      <c r="A3208" s="5"/>
    </row>
    <row r="3209">
      <c r="A3209" s="5"/>
    </row>
    <row r="3210">
      <c r="A3210" s="5"/>
    </row>
    <row r="3211">
      <c r="A3211" s="5"/>
    </row>
    <row r="3212">
      <c r="A3212" s="5"/>
    </row>
    <row r="3213">
      <c r="A3213" s="5"/>
    </row>
    <row r="3214">
      <c r="A3214" s="5"/>
    </row>
    <row r="3215">
      <c r="A3215" s="5"/>
    </row>
    <row r="3216">
      <c r="A3216" s="5"/>
    </row>
    <row r="3217">
      <c r="A3217" s="5"/>
    </row>
    <row r="3218">
      <c r="A3218" s="5"/>
    </row>
    <row r="3219">
      <c r="A3219" s="5"/>
    </row>
    <row r="3220">
      <c r="A3220" s="5"/>
    </row>
    <row r="3221">
      <c r="A3221" s="5"/>
    </row>
    <row r="3222">
      <c r="A3222" s="5"/>
    </row>
    <row r="3223">
      <c r="A3223" s="5"/>
    </row>
    <row r="3224">
      <c r="A3224" s="5"/>
    </row>
    <row r="3225">
      <c r="A3225" s="5"/>
    </row>
    <row r="3226">
      <c r="A3226" s="5"/>
    </row>
    <row r="3227">
      <c r="A3227" s="5"/>
    </row>
    <row r="3228">
      <c r="A3228" s="5"/>
    </row>
    <row r="3229">
      <c r="A3229" s="5"/>
    </row>
    <row r="3230">
      <c r="A3230" s="5"/>
    </row>
    <row r="3231">
      <c r="A3231" s="5"/>
    </row>
    <row r="3232">
      <c r="A3232" s="5"/>
    </row>
    <row r="3233">
      <c r="A3233" s="5"/>
    </row>
    <row r="3234">
      <c r="A3234" s="5"/>
    </row>
    <row r="3235">
      <c r="A3235" s="5"/>
    </row>
    <row r="3236">
      <c r="A3236" s="5"/>
    </row>
    <row r="3237">
      <c r="A3237" s="5"/>
    </row>
    <row r="3238">
      <c r="A3238" s="5"/>
    </row>
    <row r="3239">
      <c r="A3239" s="5"/>
    </row>
    <row r="3240">
      <c r="A3240" s="5"/>
    </row>
    <row r="3241">
      <c r="A3241" s="5"/>
    </row>
    <row r="3242">
      <c r="A3242" s="5"/>
    </row>
    <row r="3243">
      <c r="A3243" s="5"/>
    </row>
    <row r="3244">
      <c r="A3244" s="5"/>
    </row>
    <row r="3245">
      <c r="A3245" s="5"/>
    </row>
    <row r="3246">
      <c r="A3246" s="5"/>
    </row>
    <row r="3247">
      <c r="A3247" s="5"/>
    </row>
    <row r="3248">
      <c r="A3248" s="5"/>
    </row>
    <row r="3249">
      <c r="A3249" s="5"/>
    </row>
    <row r="3250">
      <c r="A3250" s="5"/>
    </row>
    <row r="3251">
      <c r="A3251" s="5"/>
    </row>
    <row r="3252">
      <c r="A3252" s="5"/>
    </row>
    <row r="3253">
      <c r="A3253" s="5"/>
    </row>
    <row r="3254">
      <c r="A3254" s="5"/>
    </row>
    <row r="3255">
      <c r="A3255" s="5"/>
    </row>
    <row r="3256">
      <c r="A3256" s="5"/>
    </row>
    <row r="3257">
      <c r="A3257" s="5"/>
    </row>
    <row r="3258">
      <c r="A3258" s="5"/>
    </row>
    <row r="3259">
      <c r="A3259" s="5"/>
    </row>
    <row r="3260">
      <c r="A3260" s="5"/>
    </row>
    <row r="3261">
      <c r="A3261" s="5"/>
    </row>
    <row r="3262">
      <c r="A3262" s="5"/>
    </row>
    <row r="3263">
      <c r="A3263" s="5"/>
    </row>
    <row r="3264">
      <c r="A3264" s="5"/>
    </row>
    <row r="3265">
      <c r="A3265" s="5"/>
    </row>
    <row r="3266">
      <c r="A3266" s="5"/>
    </row>
    <row r="3267">
      <c r="A3267" s="5"/>
    </row>
    <row r="3268">
      <c r="A3268" s="5"/>
    </row>
    <row r="3269">
      <c r="A3269" s="5"/>
    </row>
    <row r="3270">
      <c r="A3270" s="5"/>
    </row>
    <row r="3271">
      <c r="A3271" s="5"/>
    </row>
    <row r="3272">
      <c r="A3272" s="5"/>
    </row>
    <row r="3273">
      <c r="A3273" s="5"/>
    </row>
    <row r="3274">
      <c r="A3274" s="5"/>
    </row>
    <row r="3275">
      <c r="A3275" s="5"/>
    </row>
    <row r="3276">
      <c r="A3276" s="5"/>
    </row>
    <row r="3277">
      <c r="A3277" s="5"/>
    </row>
    <row r="3278">
      <c r="A3278" s="5"/>
    </row>
    <row r="3279">
      <c r="A3279" s="5"/>
    </row>
    <row r="3280">
      <c r="A3280" s="5"/>
    </row>
    <row r="3281">
      <c r="A3281" s="5"/>
    </row>
    <row r="3282">
      <c r="A3282" s="5"/>
    </row>
    <row r="3283">
      <c r="A3283" s="5"/>
    </row>
    <row r="3284">
      <c r="A3284" s="5"/>
    </row>
    <row r="3285">
      <c r="A3285" s="5"/>
    </row>
    <row r="3286">
      <c r="A3286" s="5"/>
    </row>
    <row r="3287">
      <c r="A3287" s="5"/>
      <c r="M3287" s="48"/>
    </row>
    <row r="3288">
      <c r="A3288" s="5"/>
    </row>
    <row r="3289">
      <c r="A3289" s="5"/>
      <c r="M3289" s="48"/>
    </row>
    <row r="3290">
      <c r="A3290" s="5"/>
    </row>
    <row r="3291">
      <c r="A3291" s="5"/>
    </row>
    <row r="3292">
      <c r="A3292" s="5"/>
    </row>
    <row r="3293">
      <c r="A3293" s="5"/>
    </row>
    <row r="3294">
      <c r="A3294" s="5"/>
    </row>
    <row r="3295">
      <c r="A3295" s="5"/>
    </row>
    <row r="3296">
      <c r="A3296" s="5"/>
    </row>
    <row r="3297">
      <c r="A3297" s="5"/>
    </row>
    <row r="3298">
      <c r="A3298" s="5"/>
    </row>
    <row r="3299">
      <c r="A3299" s="5"/>
    </row>
    <row r="3300">
      <c r="A3300" s="5"/>
      <c r="M3300" s="48"/>
    </row>
    <row r="3301">
      <c r="A3301" s="5"/>
    </row>
    <row r="3302">
      <c r="A3302" s="5"/>
    </row>
    <row r="3303">
      <c r="A3303" s="5"/>
    </row>
    <row r="3304">
      <c r="A3304" s="5"/>
    </row>
    <row r="3305">
      <c r="A3305" s="5"/>
    </row>
    <row r="3306">
      <c r="A3306" s="5"/>
    </row>
    <row r="3307">
      <c r="A3307" s="5"/>
    </row>
    <row r="3308">
      <c r="A3308" s="5"/>
    </row>
    <row r="3309">
      <c r="A3309" s="5"/>
    </row>
    <row r="3310">
      <c r="A3310" s="5"/>
    </row>
    <row r="3311">
      <c r="A3311" s="5"/>
    </row>
    <row r="3312">
      <c r="A3312" s="5"/>
    </row>
    <row r="3313">
      <c r="A3313" s="5"/>
    </row>
    <row r="3314">
      <c r="A3314" s="5"/>
    </row>
    <row r="3315">
      <c r="A3315" s="5"/>
    </row>
    <row r="3316">
      <c r="A3316" s="5"/>
    </row>
    <row r="3317">
      <c r="A3317" s="5"/>
    </row>
    <row r="3318">
      <c r="A3318" s="5"/>
    </row>
    <row r="3319">
      <c r="A3319" s="5"/>
    </row>
    <row r="3320">
      <c r="A3320" s="5"/>
    </row>
    <row r="3321">
      <c r="A3321" s="5"/>
    </row>
    <row r="3322">
      <c r="A3322" s="5"/>
    </row>
    <row r="3323">
      <c r="A3323" s="5"/>
    </row>
    <row r="3324">
      <c r="A3324" s="5"/>
    </row>
    <row r="3325">
      <c r="A3325" s="5"/>
    </row>
    <row r="3326">
      <c r="A3326" s="5"/>
    </row>
    <row r="3327">
      <c r="A3327" s="5"/>
    </row>
    <row r="3328">
      <c r="A3328" s="5"/>
    </row>
    <row r="3329">
      <c r="A3329" s="5"/>
    </row>
    <row r="3330">
      <c r="A3330" s="5"/>
    </row>
    <row r="3331">
      <c r="A3331" s="5"/>
    </row>
    <row r="3332">
      <c r="A3332" s="5"/>
    </row>
    <row r="3333">
      <c r="A3333" s="5"/>
    </row>
    <row r="3334">
      <c r="A3334" s="5"/>
    </row>
    <row r="3335">
      <c r="A3335" s="5"/>
    </row>
    <row r="3336">
      <c r="A3336" s="5"/>
    </row>
    <row r="3337">
      <c r="A3337" s="5"/>
    </row>
    <row r="3338">
      <c r="A3338" s="5"/>
    </row>
    <row r="3339">
      <c r="A3339" s="5"/>
    </row>
    <row r="3340">
      <c r="A3340" s="5"/>
    </row>
    <row r="3341">
      <c r="A3341" s="5"/>
    </row>
    <row r="3342">
      <c r="A3342" s="5"/>
    </row>
    <row r="3343">
      <c r="A3343" s="5"/>
    </row>
    <row r="3344">
      <c r="A3344" s="5"/>
    </row>
    <row r="3345">
      <c r="A3345" s="5"/>
    </row>
    <row r="3346">
      <c r="A3346" s="5"/>
    </row>
    <row r="3347">
      <c r="A3347" s="5"/>
    </row>
    <row r="3348">
      <c r="A3348" s="5"/>
    </row>
    <row r="3349">
      <c r="A3349" s="5"/>
    </row>
    <row r="3350">
      <c r="A3350" s="5"/>
    </row>
    <row r="3351">
      <c r="A3351" s="5"/>
    </row>
    <row r="3352">
      <c r="A3352" s="5"/>
    </row>
    <row r="3353">
      <c r="A3353" s="5"/>
    </row>
    <row r="3354">
      <c r="A3354" s="5"/>
    </row>
    <row r="3355">
      <c r="A3355" s="5"/>
    </row>
    <row r="3356">
      <c r="A3356" s="5"/>
    </row>
    <row r="3357">
      <c r="A3357" s="5"/>
    </row>
    <row r="3358">
      <c r="A3358" s="5"/>
      <c r="M3358" s="48"/>
    </row>
    <row r="3359">
      <c r="A3359" s="5"/>
    </row>
    <row r="3360">
      <c r="A3360" s="5"/>
    </row>
    <row r="3361">
      <c r="A3361" s="5"/>
    </row>
    <row r="3362">
      <c r="A3362" s="5"/>
    </row>
    <row r="3363">
      <c r="A3363" s="5"/>
    </row>
    <row r="3364">
      <c r="A3364" s="5"/>
    </row>
    <row r="3365">
      <c r="A3365" s="5"/>
    </row>
    <row r="3366">
      <c r="A3366" s="5"/>
    </row>
    <row r="3367">
      <c r="A3367" s="5"/>
    </row>
    <row r="3368">
      <c r="A3368" s="5"/>
      <c r="M3368" s="48"/>
    </row>
    <row r="3369">
      <c r="A3369" s="5"/>
    </row>
    <row r="3370">
      <c r="A3370" s="5"/>
    </row>
    <row r="3371">
      <c r="A3371" s="5"/>
    </row>
    <row r="3372">
      <c r="A3372" s="5"/>
    </row>
    <row r="3373">
      <c r="A3373" s="5"/>
    </row>
    <row r="3374">
      <c r="A3374" s="5"/>
    </row>
    <row r="3375">
      <c r="A3375" s="5"/>
      <c r="M3375" s="48"/>
    </row>
    <row r="3376">
      <c r="A3376" s="5"/>
    </row>
    <row r="3377">
      <c r="A3377" s="5"/>
      <c r="M3377" s="48"/>
    </row>
    <row r="3378">
      <c r="A3378" s="5"/>
      <c r="M3378" s="48"/>
    </row>
    <row r="3379">
      <c r="A3379" s="5"/>
    </row>
    <row r="3380">
      <c r="A3380" s="5"/>
      <c r="M3380" s="48"/>
    </row>
    <row r="3381">
      <c r="A3381" s="5"/>
      <c r="M3381" s="48"/>
    </row>
    <row r="3382">
      <c r="A3382" s="5"/>
    </row>
    <row r="3383">
      <c r="A3383" s="5"/>
    </row>
    <row r="3384">
      <c r="A3384" s="5"/>
      <c r="M3384" s="48"/>
    </row>
    <row r="3385">
      <c r="A3385" s="5"/>
      <c r="M3385" s="48"/>
    </row>
    <row r="3386">
      <c r="A3386" s="5"/>
      <c r="M3386" s="48"/>
    </row>
    <row r="3387">
      <c r="A3387" s="5"/>
      <c r="M3387" s="48"/>
    </row>
    <row r="3388">
      <c r="A3388" s="5"/>
      <c r="M3388" s="48"/>
    </row>
    <row r="3389">
      <c r="A3389" s="5"/>
      <c r="M3389" s="48"/>
    </row>
    <row r="3390">
      <c r="A3390" s="5"/>
      <c r="M3390" s="48"/>
    </row>
    <row r="3391">
      <c r="A3391" s="5"/>
    </row>
    <row r="3392">
      <c r="A3392" s="5"/>
    </row>
    <row r="3393">
      <c r="A3393" s="5"/>
    </row>
    <row r="3394">
      <c r="A3394" s="5"/>
    </row>
    <row r="3395">
      <c r="A3395" s="5"/>
    </row>
    <row r="3396">
      <c r="A3396" s="5"/>
    </row>
    <row r="3397">
      <c r="A3397" s="5"/>
    </row>
    <row r="3398">
      <c r="A3398" s="5"/>
    </row>
    <row r="3399">
      <c r="A3399" s="5"/>
    </row>
    <row r="3400">
      <c r="A3400" s="5"/>
    </row>
    <row r="3401">
      <c r="A3401" s="5"/>
    </row>
    <row r="3402">
      <c r="A3402" s="5"/>
    </row>
    <row r="3403">
      <c r="A3403" s="5"/>
    </row>
    <row r="3404">
      <c r="A3404" s="5"/>
    </row>
    <row r="3405">
      <c r="A3405" s="5"/>
    </row>
    <row r="3406">
      <c r="A3406" s="5"/>
    </row>
    <row r="3407">
      <c r="A3407" s="5"/>
    </row>
    <row r="3408">
      <c r="A3408" s="5"/>
    </row>
    <row r="3409">
      <c r="A3409" s="5"/>
    </row>
    <row r="3410">
      <c r="A3410" s="5"/>
    </row>
    <row r="3411">
      <c r="A3411" s="5"/>
    </row>
    <row r="3412">
      <c r="A3412" s="5"/>
    </row>
    <row r="3413">
      <c r="A3413" s="5"/>
    </row>
    <row r="3414">
      <c r="A3414" s="5"/>
    </row>
    <row r="3415">
      <c r="A3415" s="5"/>
    </row>
    <row r="3416">
      <c r="A3416" s="5"/>
    </row>
    <row r="3417">
      <c r="A3417" s="5"/>
    </row>
    <row r="3418">
      <c r="A3418" s="5"/>
    </row>
    <row r="3419">
      <c r="A3419" s="5"/>
    </row>
    <row r="3420">
      <c r="A3420" s="5"/>
    </row>
    <row r="3421">
      <c r="A3421" s="5"/>
    </row>
    <row r="3422">
      <c r="A3422" s="5"/>
    </row>
    <row r="3423">
      <c r="A3423" s="5"/>
    </row>
    <row r="3424">
      <c r="A3424" s="5"/>
    </row>
    <row r="3425">
      <c r="A3425" s="5"/>
    </row>
    <row r="3426">
      <c r="A3426" s="5"/>
    </row>
    <row r="3427">
      <c r="A3427" s="5"/>
    </row>
    <row r="3428">
      <c r="A3428" s="5"/>
    </row>
    <row r="3429">
      <c r="A3429" s="5"/>
    </row>
    <row r="3430">
      <c r="A3430" s="5"/>
    </row>
    <row r="3431">
      <c r="A3431" s="5"/>
    </row>
    <row r="3432">
      <c r="A3432" s="5"/>
    </row>
    <row r="3433">
      <c r="A3433" s="5"/>
    </row>
    <row r="3434">
      <c r="A3434" s="5"/>
    </row>
    <row r="3435">
      <c r="A3435" s="5"/>
    </row>
    <row r="3436">
      <c r="A3436" s="5"/>
    </row>
    <row r="3437">
      <c r="A3437" s="5"/>
    </row>
    <row r="3438">
      <c r="A3438" s="5"/>
    </row>
    <row r="3439">
      <c r="A3439" s="5"/>
    </row>
    <row r="3440">
      <c r="A3440" s="5"/>
    </row>
    <row r="3441">
      <c r="A3441" s="5"/>
    </row>
    <row r="3442">
      <c r="A3442" s="5"/>
    </row>
    <row r="3443">
      <c r="A3443" s="5"/>
      <c r="M3443" s="48"/>
    </row>
    <row r="3444">
      <c r="A3444" s="5"/>
    </row>
    <row r="3445">
      <c r="A3445" s="5"/>
    </row>
    <row r="3446">
      <c r="A3446" s="5"/>
      <c r="M3446" s="48"/>
    </row>
    <row r="3447">
      <c r="A3447" s="5"/>
    </row>
    <row r="3448">
      <c r="A3448" s="5"/>
    </row>
    <row r="3449">
      <c r="A3449" s="5"/>
    </row>
    <row r="3450">
      <c r="A3450" s="5"/>
    </row>
    <row r="3451">
      <c r="A3451" s="5"/>
    </row>
    <row r="3452">
      <c r="A3452" s="5"/>
    </row>
    <row r="3453">
      <c r="A3453" s="5"/>
    </row>
    <row r="3454">
      <c r="A3454" s="5"/>
    </row>
    <row r="3455">
      <c r="A3455" s="5"/>
    </row>
    <row r="3456">
      <c r="A3456" s="5"/>
    </row>
    <row r="3457">
      <c r="A3457" s="5"/>
    </row>
    <row r="3458">
      <c r="A3458" s="5"/>
    </row>
    <row r="3459">
      <c r="A3459" s="5"/>
    </row>
    <row r="3460">
      <c r="A3460" s="5"/>
    </row>
    <row r="3461">
      <c r="A3461" s="5"/>
    </row>
    <row r="3462">
      <c r="A3462" s="5"/>
    </row>
    <row r="3463">
      <c r="A3463" s="5"/>
    </row>
    <row r="3464">
      <c r="A3464" s="5"/>
      <c r="M3464" s="48"/>
    </row>
    <row r="3465">
      <c r="A3465" s="5"/>
    </row>
    <row r="3466">
      <c r="A3466" s="5"/>
    </row>
    <row r="3467">
      <c r="A3467" s="5"/>
    </row>
    <row r="3468">
      <c r="A3468" s="5"/>
    </row>
    <row r="3469">
      <c r="A3469" s="5"/>
    </row>
    <row r="3470">
      <c r="A3470" s="5"/>
    </row>
    <row r="3471">
      <c r="A3471" s="5"/>
    </row>
    <row r="3472">
      <c r="A3472" s="5"/>
    </row>
    <row r="3473">
      <c r="A3473" s="5"/>
    </row>
    <row r="3474">
      <c r="A3474" s="5"/>
    </row>
    <row r="3475">
      <c r="A3475" s="5"/>
      <c r="M3475" s="48"/>
    </row>
    <row r="3476">
      <c r="A3476" s="5"/>
    </row>
    <row r="3477">
      <c r="A3477" s="5"/>
      <c r="M3477" s="48"/>
    </row>
    <row r="3478">
      <c r="A3478" s="5"/>
    </row>
    <row r="3479">
      <c r="A3479" s="5"/>
    </row>
    <row r="3480">
      <c r="A3480" s="5"/>
    </row>
    <row r="3481">
      <c r="A3481" s="5"/>
    </row>
    <row r="3482">
      <c r="A3482" s="5"/>
    </row>
    <row r="3483">
      <c r="A3483" s="5"/>
    </row>
    <row r="3484">
      <c r="A3484" s="5"/>
    </row>
    <row r="3485">
      <c r="A3485" s="5"/>
    </row>
    <row r="3486">
      <c r="A3486" s="5"/>
    </row>
    <row r="3487">
      <c r="A3487" s="5"/>
    </row>
    <row r="3488">
      <c r="A3488" s="5"/>
    </row>
    <row r="3489">
      <c r="A3489" s="5"/>
      <c r="M3489" s="48"/>
    </row>
    <row r="3490">
      <c r="A3490" s="5"/>
    </row>
    <row r="3491">
      <c r="A3491" s="5"/>
    </row>
    <row r="3492">
      <c r="A3492" s="5"/>
    </row>
    <row r="3493">
      <c r="A3493" s="5"/>
    </row>
    <row r="3494">
      <c r="A3494" s="5"/>
    </row>
    <row r="3495">
      <c r="A3495" s="5"/>
    </row>
    <row r="3496">
      <c r="A3496" s="5"/>
    </row>
    <row r="3497">
      <c r="A3497" s="5"/>
    </row>
    <row r="3498">
      <c r="A3498" s="5"/>
    </row>
    <row r="3499">
      <c r="A3499" s="5"/>
    </row>
    <row r="3500">
      <c r="A3500" s="5"/>
    </row>
    <row r="3501">
      <c r="A3501" s="5"/>
    </row>
    <row r="3502">
      <c r="A3502" s="5"/>
    </row>
    <row r="3503">
      <c r="A3503" s="5"/>
    </row>
    <row r="3504">
      <c r="A3504" s="5"/>
    </row>
    <row r="3505">
      <c r="A3505" s="5"/>
    </row>
    <row r="3506">
      <c r="A3506" s="5"/>
    </row>
    <row r="3507">
      <c r="A3507" s="5"/>
    </row>
    <row r="3508">
      <c r="A3508" s="5"/>
    </row>
    <row r="3509">
      <c r="A3509" s="5"/>
    </row>
    <row r="3510">
      <c r="A3510" s="5"/>
    </row>
    <row r="3511">
      <c r="A3511" s="5"/>
    </row>
    <row r="3512">
      <c r="A3512" s="5"/>
    </row>
    <row r="3513">
      <c r="A3513" s="5"/>
    </row>
    <row r="3514">
      <c r="A3514" s="5"/>
    </row>
    <row r="3515">
      <c r="A3515" s="5"/>
    </row>
    <row r="3516">
      <c r="A3516" s="5"/>
    </row>
    <row r="3517">
      <c r="A3517" s="5"/>
    </row>
    <row r="3518">
      <c r="A3518" s="5"/>
    </row>
    <row r="3519">
      <c r="A3519" s="5"/>
    </row>
    <row r="3520">
      <c r="A3520" s="5"/>
    </row>
    <row r="3521">
      <c r="A3521" s="5"/>
    </row>
    <row r="3522">
      <c r="A3522" s="5"/>
    </row>
    <row r="3523">
      <c r="A3523" s="5"/>
    </row>
    <row r="3524">
      <c r="A3524" s="5"/>
    </row>
    <row r="3525">
      <c r="A3525" s="5"/>
    </row>
    <row r="3526">
      <c r="A3526" s="5"/>
    </row>
    <row r="3527">
      <c r="A3527" s="5"/>
    </row>
    <row r="3528">
      <c r="A3528" s="5"/>
    </row>
    <row r="3529">
      <c r="A3529" s="5"/>
    </row>
    <row r="3530">
      <c r="A3530" s="5"/>
    </row>
    <row r="3531">
      <c r="A3531" s="5"/>
    </row>
    <row r="3532">
      <c r="A3532" s="5"/>
    </row>
    <row r="3533">
      <c r="A3533" s="5"/>
    </row>
    <row r="3534">
      <c r="A3534" s="5"/>
    </row>
    <row r="3535">
      <c r="A3535" s="5"/>
    </row>
    <row r="3536">
      <c r="A3536" s="5"/>
    </row>
    <row r="3537">
      <c r="A3537" s="5"/>
    </row>
    <row r="3538">
      <c r="A3538" s="5"/>
    </row>
    <row r="3539">
      <c r="A3539" s="5"/>
    </row>
    <row r="3540">
      <c r="A3540" s="5"/>
    </row>
    <row r="3541">
      <c r="A3541" s="5"/>
    </row>
    <row r="3542">
      <c r="A3542" s="5"/>
    </row>
    <row r="3543">
      <c r="A3543" s="5"/>
    </row>
    <row r="3544">
      <c r="A3544" s="5"/>
    </row>
    <row r="3545">
      <c r="A3545" s="5"/>
    </row>
    <row r="3546">
      <c r="A3546" s="5"/>
    </row>
    <row r="3547">
      <c r="A3547" s="5"/>
    </row>
    <row r="3548">
      <c r="A3548" s="5"/>
    </row>
    <row r="3549">
      <c r="A3549" s="5"/>
    </row>
    <row r="3550">
      <c r="A3550" s="5"/>
    </row>
    <row r="3551">
      <c r="A3551" s="5"/>
    </row>
    <row r="3552">
      <c r="A3552" s="5"/>
    </row>
    <row r="3553">
      <c r="A3553" s="5"/>
    </row>
    <row r="3554">
      <c r="A3554" s="5"/>
    </row>
    <row r="3555">
      <c r="A3555" s="5"/>
    </row>
    <row r="3556">
      <c r="A3556" s="5"/>
    </row>
    <row r="3557">
      <c r="A3557" s="5"/>
    </row>
    <row r="3558">
      <c r="A3558" s="5"/>
    </row>
    <row r="3559">
      <c r="A3559" s="5"/>
    </row>
    <row r="3560">
      <c r="A3560" s="5"/>
    </row>
    <row r="3561">
      <c r="A3561" s="5"/>
    </row>
    <row r="3562">
      <c r="A3562" s="5"/>
    </row>
    <row r="3563">
      <c r="A3563" s="5"/>
    </row>
    <row r="3564">
      <c r="A3564" s="5"/>
    </row>
    <row r="3565">
      <c r="A3565" s="5"/>
    </row>
    <row r="3566">
      <c r="A3566" s="5"/>
    </row>
    <row r="3567">
      <c r="A3567" s="5"/>
    </row>
    <row r="3568">
      <c r="A3568" s="5"/>
    </row>
    <row r="3569">
      <c r="A3569" s="5"/>
    </row>
    <row r="3570">
      <c r="A3570" s="5"/>
    </row>
    <row r="3571">
      <c r="A3571" s="5"/>
    </row>
    <row r="3572">
      <c r="A3572" s="5"/>
    </row>
    <row r="3573">
      <c r="A3573" s="5"/>
    </row>
    <row r="3574">
      <c r="A3574" s="5"/>
    </row>
    <row r="3575">
      <c r="A3575" s="5"/>
    </row>
    <row r="3576">
      <c r="A3576" s="5"/>
    </row>
    <row r="3577">
      <c r="A3577" s="5"/>
    </row>
    <row r="3578">
      <c r="A3578" s="5"/>
    </row>
    <row r="3579">
      <c r="A3579" s="5"/>
    </row>
    <row r="3580">
      <c r="A3580" s="5"/>
    </row>
    <row r="3581">
      <c r="A3581" s="5"/>
    </row>
    <row r="3582">
      <c r="A3582" s="5"/>
    </row>
    <row r="3583">
      <c r="A3583" s="5"/>
    </row>
    <row r="3584">
      <c r="A3584" s="5"/>
    </row>
    <row r="3585">
      <c r="A3585" s="5"/>
    </row>
    <row r="3586">
      <c r="A3586" s="5"/>
    </row>
    <row r="3587">
      <c r="A3587" s="5"/>
    </row>
    <row r="3588">
      <c r="A3588" s="5"/>
    </row>
    <row r="3589">
      <c r="A3589" s="5"/>
    </row>
    <row r="3590">
      <c r="A3590" s="5"/>
    </row>
    <row r="3591">
      <c r="A3591" s="5"/>
    </row>
    <row r="3592">
      <c r="A3592" s="5"/>
    </row>
    <row r="3593">
      <c r="A3593" s="5"/>
    </row>
    <row r="3594">
      <c r="A3594" s="5"/>
    </row>
    <row r="3595">
      <c r="A3595" s="5"/>
    </row>
    <row r="3596">
      <c r="A3596" s="5"/>
    </row>
    <row r="3597">
      <c r="A3597" s="5"/>
    </row>
    <row r="3598">
      <c r="A3598" s="5"/>
    </row>
    <row r="3599">
      <c r="A3599" s="5"/>
    </row>
    <row r="3600">
      <c r="A3600" s="5"/>
    </row>
    <row r="3601">
      <c r="A3601" s="5"/>
    </row>
    <row r="3602">
      <c r="A3602" s="5"/>
    </row>
    <row r="3603">
      <c r="A3603" s="5"/>
    </row>
    <row r="3604">
      <c r="A3604" s="5"/>
    </row>
    <row r="3605">
      <c r="A3605" s="5"/>
    </row>
    <row r="3606">
      <c r="A3606" s="5"/>
    </row>
    <row r="3607">
      <c r="A3607" s="5"/>
    </row>
    <row r="3608">
      <c r="A3608" s="5"/>
    </row>
    <row r="3609">
      <c r="A3609" s="5"/>
      <c r="M3609" s="48"/>
    </row>
    <row r="3610">
      <c r="A3610" s="5"/>
      <c r="M3610" s="48"/>
    </row>
    <row r="3611">
      <c r="A3611" s="5"/>
      <c r="M3611" s="48"/>
    </row>
    <row r="3612">
      <c r="A3612" s="5"/>
    </row>
    <row r="3613">
      <c r="A3613" s="5"/>
    </row>
    <row r="3614">
      <c r="A3614" s="5"/>
      <c r="M3614" s="48"/>
    </row>
    <row r="3615">
      <c r="A3615" s="5"/>
    </row>
    <row r="3616">
      <c r="A3616" s="5"/>
    </row>
    <row r="3617">
      <c r="A3617" s="5"/>
    </row>
    <row r="3618">
      <c r="A3618" s="5"/>
      <c r="M3618" s="48"/>
    </row>
    <row r="3619">
      <c r="A3619" s="5"/>
    </row>
    <row r="3620">
      <c r="A3620" s="5"/>
    </row>
    <row r="3621">
      <c r="A3621" s="5"/>
      <c r="M3621" s="48"/>
    </row>
    <row r="3622">
      <c r="A3622" s="5"/>
    </row>
    <row r="3623">
      <c r="A3623" s="5"/>
      <c r="M3623" s="48"/>
    </row>
    <row r="3624">
      <c r="A3624" s="5"/>
    </row>
    <row r="3625">
      <c r="A3625" s="5"/>
    </row>
    <row r="3626">
      <c r="A3626" s="5"/>
    </row>
    <row r="3627">
      <c r="A3627" s="5"/>
    </row>
    <row r="3628">
      <c r="A3628" s="5"/>
    </row>
    <row r="3629">
      <c r="A3629" s="5"/>
    </row>
    <row r="3630">
      <c r="A3630" s="5"/>
    </row>
    <row r="3631">
      <c r="A3631" s="5"/>
    </row>
    <row r="3632">
      <c r="A3632" s="5"/>
    </row>
    <row r="3633">
      <c r="A3633" s="5"/>
    </row>
    <row r="3634">
      <c r="A3634" s="5"/>
    </row>
    <row r="3635">
      <c r="A3635" s="5"/>
    </row>
    <row r="3636">
      <c r="A3636" s="5"/>
    </row>
    <row r="3637">
      <c r="A3637" s="5"/>
    </row>
    <row r="3638">
      <c r="A3638" s="5"/>
    </row>
    <row r="3639">
      <c r="A3639" s="5"/>
    </row>
    <row r="3640">
      <c r="A3640" s="5"/>
    </row>
    <row r="3641">
      <c r="A3641" s="5"/>
    </row>
    <row r="3642">
      <c r="A3642" s="5"/>
    </row>
    <row r="3643">
      <c r="A3643" s="5"/>
    </row>
    <row r="3644">
      <c r="A3644" s="5"/>
    </row>
    <row r="3645">
      <c r="A3645" s="5"/>
    </row>
    <row r="3646">
      <c r="A3646" s="5"/>
    </row>
    <row r="3647">
      <c r="A3647" s="5"/>
    </row>
    <row r="3648">
      <c r="A3648" s="5"/>
    </row>
    <row r="3649">
      <c r="A3649" s="5"/>
    </row>
    <row r="3650">
      <c r="A3650" s="5"/>
    </row>
    <row r="3651">
      <c r="A3651" s="5"/>
    </row>
    <row r="3652">
      <c r="A3652" s="5"/>
    </row>
    <row r="3653">
      <c r="A3653" s="5"/>
    </row>
    <row r="3654">
      <c r="A3654" s="5"/>
    </row>
    <row r="3655">
      <c r="A3655" s="5"/>
    </row>
    <row r="3656">
      <c r="A3656" s="5"/>
    </row>
    <row r="3657">
      <c r="A3657" s="5"/>
    </row>
    <row r="3658">
      <c r="A3658" s="5"/>
    </row>
    <row r="3659">
      <c r="A3659" s="5"/>
      <c r="M3659" s="48"/>
    </row>
    <row r="3660">
      <c r="A3660" s="5"/>
      <c r="M3660" s="48"/>
    </row>
    <row r="3661">
      <c r="A3661" s="5"/>
    </row>
    <row r="3662">
      <c r="A3662" s="5"/>
    </row>
    <row r="3663">
      <c r="A3663" s="5"/>
    </row>
    <row r="3664">
      <c r="A3664" s="5"/>
    </row>
    <row r="3665">
      <c r="A3665" s="5"/>
      <c r="M3665" s="48"/>
    </row>
    <row r="3666">
      <c r="A3666" s="5"/>
      <c r="M3666" s="48"/>
    </row>
    <row r="3667">
      <c r="A3667" s="5"/>
    </row>
    <row r="3668">
      <c r="A3668" s="5"/>
    </row>
    <row r="3669">
      <c r="A3669" s="5"/>
    </row>
    <row r="3670">
      <c r="A3670" s="5"/>
    </row>
    <row r="3671">
      <c r="A3671" s="5"/>
    </row>
    <row r="3672">
      <c r="A3672" s="5"/>
    </row>
    <row r="3673">
      <c r="A3673" s="5"/>
    </row>
    <row r="3674">
      <c r="A3674" s="5"/>
    </row>
    <row r="3675">
      <c r="A3675" s="5"/>
    </row>
    <row r="3676">
      <c r="A3676" s="5"/>
    </row>
    <row r="3677">
      <c r="A3677" s="5"/>
    </row>
    <row r="3678">
      <c r="A3678" s="5"/>
    </row>
    <row r="3679">
      <c r="A3679" s="5"/>
    </row>
    <row r="3680">
      <c r="A3680" s="5"/>
    </row>
    <row r="3681">
      <c r="A3681" s="5"/>
    </row>
    <row r="3682">
      <c r="A3682" s="5"/>
    </row>
    <row r="3683">
      <c r="A3683" s="5"/>
    </row>
    <row r="3684">
      <c r="A3684" s="5"/>
    </row>
    <row r="3685">
      <c r="A3685" s="5"/>
    </row>
    <row r="3686">
      <c r="A3686" s="5"/>
    </row>
    <row r="3687">
      <c r="A3687" s="5"/>
    </row>
    <row r="3688">
      <c r="A3688" s="5"/>
    </row>
    <row r="3689">
      <c r="A3689" s="5"/>
    </row>
    <row r="3690">
      <c r="A3690" s="5"/>
      <c r="M3690" s="48"/>
    </row>
    <row r="3691">
      <c r="A3691" s="5"/>
      <c r="M3691" s="48"/>
    </row>
    <row r="3692">
      <c r="A3692" s="5"/>
    </row>
    <row r="3693">
      <c r="A3693" s="5"/>
      <c r="M3693" s="48"/>
    </row>
    <row r="3694">
      <c r="A3694" s="5"/>
      <c r="M3694" s="48"/>
    </row>
    <row r="3695">
      <c r="A3695" s="5"/>
      <c r="M3695" s="48"/>
    </row>
    <row r="3696">
      <c r="A3696" s="5"/>
      <c r="M3696" s="48"/>
    </row>
    <row r="3697">
      <c r="A3697" s="5"/>
      <c r="M3697" s="48"/>
    </row>
    <row r="3698">
      <c r="A3698" s="5"/>
      <c r="M3698" s="48"/>
    </row>
    <row r="3699">
      <c r="A3699" s="5"/>
      <c r="M3699" s="48"/>
    </row>
    <row r="3700">
      <c r="A3700" s="5"/>
      <c r="M3700" s="48"/>
    </row>
    <row r="3701">
      <c r="A3701" s="5"/>
    </row>
    <row r="3702">
      <c r="A3702" s="5"/>
      <c r="M3702" s="48"/>
    </row>
    <row r="3703">
      <c r="A3703" s="5"/>
    </row>
    <row r="3704">
      <c r="A3704" s="5"/>
      <c r="M3704" s="48"/>
    </row>
    <row r="3705">
      <c r="A3705" s="5"/>
      <c r="M3705" s="48"/>
    </row>
    <row r="3706">
      <c r="A3706" s="5"/>
      <c r="M3706" s="48"/>
    </row>
    <row r="3707">
      <c r="A3707" s="5"/>
      <c r="M3707" s="48"/>
    </row>
    <row r="3708">
      <c r="A3708" s="5"/>
      <c r="M3708" s="48"/>
    </row>
    <row r="3709">
      <c r="A3709" s="5"/>
      <c r="M3709" s="48"/>
    </row>
    <row r="3710">
      <c r="A3710" s="5"/>
    </row>
    <row r="3711">
      <c r="A3711" s="5"/>
    </row>
    <row r="3712">
      <c r="A3712" s="5"/>
      <c r="M3712" s="48"/>
    </row>
    <row r="3713">
      <c r="A3713" s="5"/>
      <c r="M3713" s="48"/>
    </row>
    <row r="3714">
      <c r="A3714" s="5"/>
      <c r="M3714" s="48"/>
    </row>
    <row r="3715">
      <c r="A3715" s="5"/>
      <c r="M3715" s="48"/>
    </row>
    <row r="3716">
      <c r="A3716" s="5"/>
      <c r="M3716" s="48"/>
    </row>
    <row r="3717">
      <c r="A3717" s="5"/>
    </row>
    <row r="3718">
      <c r="A3718" s="5"/>
    </row>
    <row r="3719">
      <c r="A3719" s="5"/>
    </row>
    <row r="3720">
      <c r="A3720" s="5"/>
    </row>
    <row r="3721">
      <c r="A3721" s="5"/>
      <c r="M3721" s="48"/>
    </row>
    <row r="3722">
      <c r="A3722" s="5"/>
      <c r="M3722" s="48"/>
    </row>
    <row r="3723">
      <c r="A3723" s="5"/>
    </row>
    <row r="3724">
      <c r="A3724" s="5"/>
    </row>
    <row r="3725">
      <c r="A3725" s="5"/>
    </row>
    <row r="3726">
      <c r="A3726" s="5"/>
    </row>
    <row r="3727">
      <c r="A3727" s="5"/>
    </row>
    <row r="3728">
      <c r="A3728" s="5"/>
    </row>
    <row r="3729">
      <c r="A3729" s="5"/>
    </row>
    <row r="3730">
      <c r="A3730" s="5"/>
    </row>
    <row r="3731">
      <c r="A3731" s="5"/>
    </row>
    <row r="3732">
      <c r="A3732" s="5"/>
    </row>
    <row r="3733">
      <c r="A3733" s="5"/>
    </row>
    <row r="3734">
      <c r="A3734" s="5"/>
    </row>
    <row r="3735">
      <c r="A3735" s="5"/>
    </row>
    <row r="3736">
      <c r="A3736" s="5"/>
    </row>
    <row r="3737">
      <c r="A3737" s="5"/>
    </row>
    <row r="3738">
      <c r="A3738" s="5"/>
      <c r="M3738" s="48"/>
    </row>
    <row r="3739">
      <c r="A3739" s="5"/>
      <c r="M3739" s="48"/>
    </row>
    <row r="3740">
      <c r="A3740" s="5"/>
      <c r="M3740" s="48"/>
    </row>
    <row r="3741">
      <c r="A3741" s="5"/>
      <c r="M3741" s="48"/>
    </row>
    <row r="3742">
      <c r="A3742" s="5"/>
      <c r="M3742" s="48"/>
    </row>
    <row r="3743">
      <c r="A3743" s="5"/>
      <c r="M3743" s="48"/>
    </row>
    <row r="3744">
      <c r="A3744" s="5"/>
      <c r="M3744" s="48"/>
    </row>
    <row r="3745">
      <c r="A3745" s="5"/>
      <c r="M3745" s="48"/>
    </row>
    <row r="3746">
      <c r="A3746" s="5"/>
    </row>
    <row r="3747">
      <c r="A3747" s="5"/>
      <c r="M3747" s="48"/>
    </row>
    <row r="3748">
      <c r="A3748" s="5"/>
    </row>
    <row r="3749">
      <c r="A3749" s="5"/>
      <c r="M3749" s="48"/>
    </row>
    <row r="3750">
      <c r="A3750" s="5"/>
    </row>
    <row r="3751">
      <c r="A3751" s="5"/>
      <c r="M3751" s="48"/>
    </row>
    <row r="3752">
      <c r="A3752" s="5"/>
    </row>
    <row r="3753">
      <c r="A3753" s="5"/>
      <c r="M3753" s="48"/>
    </row>
    <row r="3754">
      <c r="A3754" s="5"/>
    </row>
    <row r="3755">
      <c r="A3755" s="5"/>
    </row>
    <row r="3756">
      <c r="A3756" s="5"/>
      <c r="M3756" s="48"/>
    </row>
    <row r="3757">
      <c r="A3757" s="5"/>
      <c r="M3757" s="48"/>
    </row>
    <row r="3758">
      <c r="A3758" s="5"/>
      <c r="M3758" s="48"/>
    </row>
    <row r="3759">
      <c r="A3759" s="5"/>
    </row>
    <row r="3760">
      <c r="A3760" s="5"/>
    </row>
    <row r="3761">
      <c r="A3761" s="5"/>
      <c r="M3761" s="48"/>
    </row>
    <row r="3762">
      <c r="A3762" s="5"/>
    </row>
    <row r="3763">
      <c r="A3763" s="5"/>
    </row>
    <row r="3764">
      <c r="A3764" s="5"/>
      <c r="M3764" s="48"/>
    </row>
    <row r="3765">
      <c r="A3765" s="5"/>
    </row>
    <row r="3766">
      <c r="A3766" s="5"/>
    </row>
    <row r="3767">
      <c r="A3767" s="5"/>
      <c r="M3767" s="48"/>
    </row>
    <row r="3768">
      <c r="A3768" s="5"/>
    </row>
    <row r="3769">
      <c r="A3769" s="5"/>
    </row>
    <row r="3770">
      <c r="A3770" s="5"/>
    </row>
    <row r="3771">
      <c r="A3771" s="5"/>
    </row>
    <row r="3772">
      <c r="A3772" s="5"/>
      <c r="M3772" s="48"/>
    </row>
    <row r="3773">
      <c r="A3773" s="5"/>
    </row>
    <row r="3774">
      <c r="A3774" s="5"/>
    </row>
    <row r="3775">
      <c r="A3775" s="5"/>
    </row>
    <row r="3776">
      <c r="A3776" s="5"/>
    </row>
    <row r="3777">
      <c r="A3777" s="5"/>
    </row>
    <row r="3778">
      <c r="A3778" s="5"/>
    </row>
    <row r="3779">
      <c r="A3779" s="5"/>
    </row>
    <row r="3780">
      <c r="A3780" s="5"/>
      <c r="M3780" s="48"/>
    </row>
    <row r="3781">
      <c r="A3781" s="5"/>
    </row>
    <row r="3782">
      <c r="A3782" s="5"/>
    </row>
    <row r="3783">
      <c r="A3783" s="5"/>
    </row>
    <row r="3784">
      <c r="A3784" s="5"/>
      <c r="M3784" s="48"/>
    </row>
    <row r="3785">
      <c r="A3785" s="5"/>
    </row>
    <row r="3786">
      <c r="A3786" s="5"/>
      <c r="M3786" s="48"/>
    </row>
    <row r="3787">
      <c r="A3787" s="5"/>
    </row>
    <row r="3788">
      <c r="A3788" s="5"/>
    </row>
    <row r="3789">
      <c r="A3789" s="5"/>
    </row>
    <row r="3790">
      <c r="A3790" s="5"/>
    </row>
    <row r="3791">
      <c r="A3791" s="5"/>
    </row>
    <row r="3792">
      <c r="A3792" s="5"/>
    </row>
    <row r="3793">
      <c r="A3793" s="5"/>
    </row>
    <row r="3794">
      <c r="A3794" s="5"/>
    </row>
    <row r="3795">
      <c r="A3795" s="5"/>
    </row>
    <row r="3796">
      <c r="A3796" s="5"/>
    </row>
    <row r="3797">
      <c r="A3797" s="5"/>
    </row>
    <row r="3798">
      <c r="A3798" s="5"/>
    </row>
    <row r="3799">
      <c r="A3799" s="5"/>
    </row>
    <row r="3800">
      <c r="A3800" s="5"/>
    </row>
    <row r="3801">
      <c r="A3801" s="5"/>
    </row>
    <row r="3802">
      <c r="A3802" s="5"/>
      <c r="M3802" s="48"/>
    </row>
    <row r="3803">
      <c r="A3803" s="5"/>
    </row>
    <row r="3804">
      <c r="A3804" s="5"/>
      <c r="M3804" s="48"/>
    </row>
    <row r="3805">
      <c r="A3805" s="5"/>
    </row>
    <row r="3806">
      <c r="A3806" s="5"/>
    </row>
    <row r="3807">
      <c r="A3807" s="5"/>
    </row>
    <row r="3808">
      <c r="A3808" s="5"/>
    </row>
    <row r="3809">
      <c r="A3809" s="5"/>
    </row>
    <row r="3810">
      <c r="A3810" s="5"/>
    </row>
    <row r="3811">
      <c r="A3811" s="5"/>
    </row>
    <row r="3812">
      <c r="A3812" s="5"/>
    </row>
    <row r="3813">
      <c r="A3813" s="5"/>
    </row>
    <row r="3814">
      <c r="A3814" s="5"/>
    </row>
    <row r="3815">
      <c r="A3815" s="5"/>
    </row>
    <row r="3816">
      <c r="A3816" s="5"/>
    </row>
    <row r="3817">
      <c r="A3817" s="5"/>
      <c r="M3817" s="48"/>
    </row>
    <row r="3818">
      <c r="A3818" s="5"/>
      <c r="M3818" s="48"/>
    </row>
    <row r="3819">
      <c r="A3819" s="5"/>
    </row>
    <row r="3820">
      <c r="A3820" s="5"/>
      <c r="M3820" s="48"/>
    </row>
    <row r="3821">
      <c r="A3821" s="5"/>
      <c r="M3821" s="48"/>
    </row>
    <row r="3822">
      <c r="A3822" s="5"/>
      <c r="M3822" s="48"/>
    </row>
    <row r="3823">
      <c r="A3823" s="5"/>
      <c r="M3823" s="48"/>
    </row>
    <row r="3824">
      <c r="A3824" s="5"/>
    </row>
    <row r="3825">
      <c r="A3825" s="5"/>
      <c r="M3825" s="48"/>
    </row>
    <row r="3826">
      <c r="A3826" s="5"/>
      <c r="M3826" s="48"/>
    </row>
    <row r="3827">
      <c r="A3827" s="5"/>
      <c r="M3827" s="48"/>
    </row>
    <row r="3828">
      <c r="A3828" s="5"/>
      <c r="M3828" s="48"/>
    </row>
    <row r="3829">
      <c r="A3829" s="5"/>
    </row>
    <row r="3830">
      <c r="A3830" s="5"/>
      <c r="M3830" s="48"/>
    </row>
    <row r="3831">
      <c r="A3831" s="5"/>
    </row>
    <row r="3832">
      <c r="A3832" s="5"/>
    </row>
    <row r="3833">
      <c r="A3833" s="5"/>
      <c r="M3833" s="48"/>
    </row>
    <row r="3834">
      <c r="A3834" s="5"/>
    </row>
    <row r="3835">
      <c r="A3835" s="5"/>
    </row>
    <row r="3836">
      <c r="A3836" s="5"/>
    </row>
    <row r="3837">
      <c r="A3837" s="5"/>
    </row>
    <row r="3838">
      <c r="A3838" s="5"/>
      <c r="M3838" s="48"/>
    </row>
    <row r="3839">
      <c r="A3839" s="5"/>
      <c r="M3839" s="48"/>
    </row>
    <row r="3840">
      <c r="A3840" s="5"/>
    </row>
    <row r="3841">
      <c r="A3841" s="5"/>
      <c r="M3841" s="48"/>
    </row>
    <row r="3842">
      <c r="A3842" s="5"/>
      <c r="M3842" s="48"/>
    </row>
    <row r="3843">
      <c r="A3843" s="5"/>
    </row>
    <row r="3844">
      <c r="A3844" s="5"/>
    </row>
    <row r="3845">
      <c r="A3845" s="5"/>
    </row>
    <row r="3846">
      <c r="A3846" s="5"/>
    </row>
    <row r="3847">
      <c r="A3847" s="5"/>
      <c r="M3847" s="48"/>
    </row>
    <row r="3848">
      <c r="A3848" s="5"/>
    </row>
    <row r="3849">
      <c r="A3849" s="5"/>
    </row>
    <row r="3850">
      <c r="A3850" s="5"/>
      <c r="M3850" s="48"/>
    </row>
    <row r="3851">
      <c r="A3851" s="5"/>
    </row>
    <row r="3852">
      <c r="A3852" s="5"/>
      <c r="M3852" s="48"/>
    </row>
    <row r="3853">
      <c r="A3853" s="5"/>
      <c r="M3853" s="48"/>
    </row>
    <row r="3854">
      <c r="A3854" s="5"/>
    </row>
    <row r="3855">
      <c r="A3855" s="5"/>
    </row>
    <row r="3856">
      <c r="A3856" s="5"/>
      <c r="M3856" s="48"/>
    </row>
    <row r="3857">
      <c r="A3857" s="5"/>
      <c r="M3857" s="48"/>
    </row>
    <row r="3858">
      <c r="A3858" s="5"/>
    </row>
    <row r="3859">
      <c r="A3859" s="5"/>
    </row>
    <row r="3860">
      <c r="A3860" s="5"/>
    </row>
    <row r="3861">
      <c r="A3861" s="5"/>
    </row>
    <row r="3862">
      <c r="A3862" s="5"/>
    </row>
    <row r="3863">
      <c r="A3863" s="5"/>
    </row>
    <row r="3864">
      <c r="A3864" s="5"/>
    </row>
    <row r="3865">
      <c r="A3865" s="5"/>
    </row>
    <row r="3866">
      <c r="A3866" s="5"/>
    </row>
    <row r="3867">
      <c r="A3867" s="5"/>
    </row>
    <row r="3868">
      <c r="A3868" s="5"/>
    </row>
    <row r="3869">
      <c r="A3869" s="5"/>
      <c r="M3869" s="48"/>
    </row>
    <row r="3870">
      <c r="A3870" s="5"/>
      <c r="M3870" s="48"/>
    </row>
    <row r="3871">
      <c r="A3871" s="5"/>
    </row>
    <row r="3872">
      <c r="A3872" s="5"/>
    </row>
    <row r="3873">
      <c r="A3873" s="5"/>
    </row>
    <row r="3874">
      <c r="A3874" s="5"/>
      <c r="M3874" s="48"/>
    </row>
    <row r="3875">
      <c r="A3875" s="5"/>
      <c r="M3875" s="48"/>
    </row>
    <row r="3876">
      <c r="A3876" s="5"/>
      <c r="M3876" s="48"/>
    </row>
    <row r="3877">
      <c r="A3877" s="5"/>
      <c r="M3877" s="48"/>
    </row>
    <row r="3878">
      <c r="A3878" s="5"/>
    </row>
    <row r="3879">
      <c r="A3879" s="5"/>
    </row>
    <row r="3880">
      <c r="A3880" s="5"/>
    </row>
    <row r="3881">
      <c r="A3881" s="5"/>
    </row>
    <row r="3882">
      <c r="A3882" s="5"/>
    </row>
    <row r="3883">
      <c r="A3883" s="5"/>
    </row>
    <row r="3884">
      <c r="A3884" s="5"/>
    </row>
    <row r="3885">
      <c r="A3885" s="5"/>
    </row>
    <row r="3886">
      <c r="A3886" s="5"/>
    </row>
    <row r="3887">
      <c r="A3887" s="5"/>
    </row>
    <row r="3888">
      <c r="A3888" s="5"/>
    </row>
    <row r="3889">
      <c r="A3889" s="5"/>
    </row>
    <row r="3890">
      <c r="A3890" s="5"/>
    </row>
    <row r="3891">
      <c r="A3891" s="5"/>
    </row>
    <row r="3892">
      <c r="A3892" s="5"/>
    </row>
    <row r="3893">
      <c r="A3893" s="5"/>
    </row>
    <row r="3894">
      <c r="A3894" s="5"/>
    </row>
    <row r="3895">
      <c r="A3895" s="5"/>
    </row>
    <row r="3896">
      <c r="A3896" s="5"/>
    </row>
    <row r="3897">
      <c r="A3897" s="5"/>
    </row>
    <row r="3898">
      <c r="A3898" s="5"/>
    </row>
    <row r="3899">
      <c r="A3899" s="5"/>
    </row>
    <row r="3900">
      <c r="A3900" s="5"/>
    </row>
    <row r="3901">
      <c r="A3901" s="5"/>
    </row>
    <row r="3902">
      <c r="A3902" s="5"/>
    </row>
    <row r="3903">
      <c r="A3903" s="5"/>
    </row>
    <row r="3904">
      <c r="A3904" s="5"/>
    </row>
    <row r="3905">
      <c r="A3905" s="5"/>
    </row>
    <row r="3906">
      <c r="A3906" s="5"/>
    </row>
    <row r="3907">
      <c r="A3907" s="5"/>
    </row>
    <row r="3908">
      <c r="A3908" s="5"/>
      <c r="M3908" s="48"/>
    </row>
    <row r="3909">
      <c r="A3909" s="5"/>
      <c r="M3909" s="48"/>
    </row>
    <row r="3910">
      <c r="A3910" s="5"/>
    </row>
    <row r="3911">
      <c r="A3911" s="5"/>
      <c r="M3911" s="48"/>
    </row>
    <row r="3912">
      <c r="A3912" s="5"/>
    </row>
    <row r="3913">
      <c r="A3913" s="5"/>
    </row>
    <row r="3914">
      <c r="A3914" s="5"/>
      <c r="M3914" s="48"/>
    </row>
    <row r="3915">
      <c r="A3915" s="5"/>
      <c r="M3915" s="48"/>
    </row>
    <row r="3916">
      <c r="A3916" s="5"/>
    </row>
    <row r="3917">
      <c r="A3917" s="5"/>
    </row>
    <row r="3918">
      <c r="A3918" s="5"/>
      <c r="M3918" s="48"/>
    </row>
    <row r="3919">
      <c r="A3919" s="5"/>
    </row>
    <row r="3920">
      <c r="A3920" s="5"/>
    </row>
    <row r="3921">
      <c r="A3921" s="5"/>
    </row>
    <row r="3922">
      <c r="A3922" s="5"/>
    </row>
    <row r="3923">
      <c r="A3923" s="5"/>
    </row>
    <row r="3924">
      <c r="A3924" s="5"/>
      <c r="M3924" s="48"/>
    </row>
    <row r="3925">
      <c r="A3925" s="5"/>
      <c r="M3925" s="48"/>
    </row>
    <row r="3926">
      <c r="A3926" s="5"/>
    </row>
    <row r="3927">
      <c r="A3927" s="5"/>
    </row>
    <row r="3928">
      <c r="A3928" s="5"/>
    </row>
    <row r="3929">
      <c r="A3929" s="5"/>
    </row>
    <row r="3930">
      <c r="A3930" s="5"/>
    </row>
    <row r="3931">
      <c r="A3931" s="5"/>
    </row>
    <row r="3932">
      <c r="A3932" s="5"/>
    </row>
    <row r="3933">
      <c r="A3933" s="5"/>
      <c r="M3933" s="48"/>
    </row>
    <row r="3934">
      <c r="A3934" s="5"/>
      <c r="M3934" s="48"/>
    </row>
    <row r="3935">
      <c r="A3935" s="5"/>
    </row>
    <row r="3936">
      <c r="A3936" s="5"/>
    </row>
    <row r="3937">
      <c r="A3937" s="5"/>
    </row>
    <row r="3938">
      <c r="A3938" s="5"/>
    </row>
    <row r="3939">
      <c r="A3939" s="5"/>
    </row>
    <row r="3940">
      <c r="A3940" s="5"/>
    </row>
    <row r="3941">
      <c r="A3941" s="5"/>
    </row>
    <row r="3942">
      <c r="A3942" s="5"/>
    </row>
    <row r="3943">
      <c r="A3943" s="5"/>
    </row>
    <row r="3944">
      <c r="A3944" s="5"/>
    </row>
    <row r="3945">
      <c r="A3945" s="5"/>
      <c r="M3945" s="48"/>
    </row>
    <row r="3946">
      <c r="A3946" s="5"/>
    </row>
    <row r="3947">
      <c r="A3947" s="5"/>
    </row>
    <row r="3948">
      <c r="A3948" s="5"/>
      <c r="M3948" s="48"/>
    </row>
    <row r="3949">
      <c r="A3949" s="5"/>
    </row>
    <row r="3950">
      <c r="A3950" s="5"/>
    </row>
    <row r="3951">
      <c r="A3951" s="5"/>
      <c r="M3951" s="48"/>
    </row>
    <row r="3952">
      <c r="A3952" s="5"/>
    </row>
    <row r="3953">
      <c r="A3953" s="5"/>
      <c r="M3953" s="48"/>
    </row>
    <row r="3954">
      <c r="A3954" s="5"/>
      <c r="M3954" s="48"/>
    </row>
    <row r="3955">
      <c r="A3955" s="5"/>
    </row>
    <row r="3956">
      <c r="A3956" s="5"/>
      <c r="M3956" s="48"/>
    </row>
    <row r="3957">
      <c r="A3957" s="5"/>
      <c r="M3957" s="48"/>
    </row>
    <row r="3958">
      <c r="A3958" s="5"/>
      <c r="M3958" s="48"/>
    </row>
    <row r="3959">
      <c r="A3959" s="5"/>
      <c r="M3959" s="48"/>
    </row>
    <row r="3960">
      <c r="A3960" s="5"/>
      <c r="M3960" s="48"/>
    </row>
    <row r="3961">
      <c r="A3961" s="5"/>
    </row>
    <row r="3962">
      <c r="A3962" s="5"/>
      <c r="M3962" s="48"/>
    </row>
    <row r="3963">
      <c r="A3963" s="5"/>
      <c r="M3963" s="48"/>
    </row>
    <row r="3964">
      <c r="A3964" s="5"/>
    </row>
    <row r="3965">
      <c r="A3965" s="5"/>
      <c r="M3965" s="48"/>
    </row>
    <row r="3966">
      <c r="A3966" s="5"/>
      <c r="M3966" s="48"/>
    </row>
    <row r="3967">
      <c r="A3967" s="5"/>
      <c r="M3967" s="48"/>
    </row>
    <row r="3968">
      <c r="A3968" s="5"/>
      <c r="M3968" s="48"/>
    </row>
    <row r="3969">
      <c r="A3969" s="5"/>
    </row>
    <row r="3970">
      <c r="A3970" s="5"/>
      <c r="M3970" s="48"/>
    </row>
    <row r="3971">
      <c r="A3971" s="5"/>
      <c r="M3971" s="48"/>
    </row>
    <row r="3972">
      <c r="A3972" s="5"/>
      <c r="M3972" s="48"/>
    </row>
    <row r="3973">
      <c r="A3973" s="5"/>
      <c r="M3973" s="48"/>
    </row>
    <row r="3974">
      <c r="A3974" s="5"/>
    </row>
    <row r="3975">
      <c r="A3975" s="5"/>
      <c r="M3975" s="48"/>
    </row>
    <row r="3976">
      <c r="A3976" s="5"/>
    </row>
    <row r="3977">
      <c r="A3977" s="5"/>
      <c r="M3977" s="48"/>
    </row>
    <row r="3978">
      <c r="A3978" s="5"/>
      <c r="M3978" s="48"/>
    </row>
    <row r="3979">
      <c r="A3979" s="5"/>
      <c r="M3979" s="48"/>
    </row>
    <row r="3980">
      <c r="A3980" s="5"/>
      <c r="M3980" s="48"/>
    </row>
    <row r="3981">
      <c r="A3981" s="5"/>
      <c r="M3981" s="48"/>
    </row>
    <row r="3982">
      <c r="A3982" s="5"/>
    </row>
    <row r="3983">
      <c r="A3983" s="5"/>
      <c r="M3983" s="48"/>
    </row>
    <row r="3984">
      <c r="A3984" s="5"/>
      <c r="M3984" s="48"/>
    </row>
    <row r="3985">
      <c r="A3985" s="5"/>
      <c r="M3985" s="48"/>
    </row>
    <row r="3986">
      <c r="A3986" s="5"/>
    </row>
    <row r="3987">
      <c r="A3987" s="5"/>
      <c r="M3987" s="48"/>
    </row>
    <row r="3988">
      <c r="A3988" s="5"/>
    </row>
    <row r="3989">
      <c r="A3989" s="5"/>
    </row>
    <row r="3990">
      <c r="A3990" s="5"/>
      <c r="M3990" s="48"/>
    </row>
    <row r="3991">
      <c r="A3991" s="5"/>
      <c r="M3991" s="48"/>
    </row>
    <row r="3992">
      <c r="A3992" s="5"/>
      <c r="M3992" s="48"/>
    </row>
    <row r="3993">
      <c r="A3993" s="5"/>
    </row>
    <row r="3994">
      <c r="A3994" s="5"/>
    </row>
    <row r="3995">
      <c r="A3995" s="5"/>
      <c r="M3995" s="48"/>
    </row>
    <row r="3996">
      <c r="A3996" s="5"/>
      <c r="M3996" s="48"/>
    </row>
    <row r="3997">
      <c r="A3997" s="5"/>
    </row>
    <row r="3998">
      <c r="A3998" s="5"/>
    </row>
    <row r="3999">
      <c r="A3999" s="5"/>
      <c r="M3999" s="48"/>
    </row>
    <row r="4000">
      <c r="A4000" s="5"/>
      <c r="M4000" s="48"/>
    </row>
    <row r="4001">
      <c r="A4001" s="5"/>
    </row>
    <row r="4002">
      <c r="A4002" s="5"/>
    </row>
    <row r="4003">
      <c r="A4003" s="5"/>
      <c r="M4003" s="48"/>
    </row>
    <row r="4004">
      <c r="A4004" s="5"/>
    </row>
    <row r="4005">
      <c r="A4005" s="5"/>
    </row>
    <row r="4006">
      <c r="A4006" s="5"/>
    </row>
    <row r="4007">
      <c r="A4007" s="5"/>
      <c r="M4007" s="48"/>
    </row>
    <row r="4008">
      <c r="A4008" s="5"/>
      <c r="M4008" s="48"/>
    </row>
    <row r="4009">
      <c r="A4009" s="5"/>
      <c r="M4009" s="48"/>
    </row>
    <row r="4010">
      <c r="A4010" s="5"/>
      <c r="M4010" s="48"/>
    </row>
    <row r="4011">
      <c r="A4011" s="5"/>
      <c r="M4011" s="48"/>
    </row>
    <row r="4012">
      <c r="A4012" s="5"/>
      <c r="M4012" s="48"/>
    </row>
    <row r="4013">
      <c r="A4013" s="5"/>
    </row>
    <row r="4014">
      <c r="A4014" s="5"/>
      <c r="M4014" s="48"/>
    </row>
    <row r="4015">
      <c r="A4015" s="5"/>
    </row>
    <row r="4016">
      <c r="A4016" s="5"/>
      <c r="M4016" s="48"/>
    </row>
    <row r="4017">
      <c r="A4017" s="5"/>
      <c r="M4017" s="48"/>
    </row>
    <row r="4018">
      <c r="A4018" s="5"/>
      <c r="M4018" s="48"/>
    </row>
    <row r="4019">
      <c r="A4019" s="5"/>
      <c r="M4019" s="48"/>
    </row>
    <row r="4020">
      <c r="A4020" s="5"/>
      <c r="M4020" s="48"/>
    </row>
    <row r="4021">
      <c r="A4021" s="5"/>
    </row>
    <row r="4022">
      <c r="A4022" s="5"/>
      <c r="M4022" s="48"/>
    </row>
    <row r="4023">
      <c r="A4023" s="5"/>
    </row>
    <row r="4024">
      <c r="A4024" s="5"/>
      <c r="M4024" s="48"/>
    </row>
    <row r="4025">
      <c r="A4025" s="5"/>
      <c r="M4025" s="48"/>
    </row>
    <row r="4026">
      <c r="A4026" s="5"/>
    </row>
    <row r="4027">
      <c r="A4027" s="5"/>
      <c r="M4027" s="48"/>
    </row>
    <row r="4028">
      <c r="A4028" s="5"/>
    </row>
    <row r="4029">
      <c r="A4029" s="5"/>
    </row>
    <row r="4030">
      <c r="A4030" s="5"/>
      <c r="M4030" s="48"/>
    </row>
    <row r="4031">
      <c r="A4031" s="5"/>
      <c r="M4031" s="48"/>
    </row>
    <row r="4032">
      <c r="A4032" s="5"/>
    </row>
    <row r="4033">
      <c r="A4033" s="5"/>
    </row>
    <row r="4034">
      <c r="A4034" s="5"/>
      <c r="M4034" s="48"/>
    </row>
    <row r="4035">
      <c r="A4035" s="5"/>
    </row>
    <row r="4036">
      <c r="A4036" s="5"/>
      <c r="M4036" s="48"/>
    </row>
    <row r="4037">
      <c r="A4037" s="5"/>
      <c r="M4037" s="48"/>
    </row>
    <row r="4038">
      <c r="A4038" s="5"/>
      <c r="M4038" s="48"/>
    </row>
    <row r="4039">
      <c r="A4039" s="5"/>
      <c r="M4039" s="48"/>
    </row>
    <row r="4040">
      <c r="A4040" s="5"/>
    </row>
    <row r="4041">
      <c r="A4041" s="5"/>
      <c r="M4041" s="48"/>
    </row>
    <row r="4042">
      <c r="A4042" s="5"/>
      <c r="M4042" s="48"/>
    </row>
    <row r="4043">
      <c r="A4043" s="5"/>
    </row>
    <row r="4044">
      <c r="A4044" s="5"/>
      <c r="M4044" s="48"/>
    </row>
    <row r="4045">
      <c r="A4045" s="5"/>
      <c r="M4045" s="48"/>
    </row>
    <row r="4046">
      <c r="A4046" s="5"/>
      <c r="M4046" s="48"/>
    </row>
    <row r="4047">
      <c r="A4047" s="5"/>
      <c r="M4047" s="48"/>
    </row>
    <row r="4048">
      <c r="A4048" s="5"/>
    </row>
    <row r="4049">
      <c r="A4049" s="5"/>
    </row>
    <row r="4050">
      <c r="A4050" s="5"/>
      <c r="M4050" s="48"/>
    </row>
    <row r="4051">
      <c r="A4051" s="5"/>
    </row>
    <row r="4052">
      <c r="A4052" s="5"/>
    </row>
    <row r="4053">
      <c r="A4053" s="5"/>
      <c r="M4053" s="48"/>
    </row>
    <row r="4054">
      <c r="A4054" s="5"/>
      <c r="M4054" s="48"/>
    </row>
    <row r="4055">
      <c r="A4055" s="5"/>
      <c r="M4055" s="48"/>
    </row>
    <row r="4056">
      <c r="A4056" s="5"/>
    </row>
    <row r="4057">
      <c r="A4057" s="5"/>
      <c r="M4057" s="48"/>
    </row>
    <row r="4058">
      <c r="A4058" s="5"/>
      <c r="M4058" s="48"/>
    </row>
    <row r="4059">
      <c r="A4059" s="5"/>
    </row>
    <row r="4060">
      <c r="A4060" s="5"/>
      <c r="M4060" s="48"/>
    </row>
    <row r="4061">
      <c r="A4061" s="5"/>
      <c r="M4061" s="48"/>
    </row>
    <row r="4062">
      <c r="A4062" s="5"/>
    </row>
    <row r="4063">
      <c r="A4063" s="5"/>
    </row>
    <row r="4064">
      <c r="A4064" s="5"/>
    </row>
    <row r="4065">
      <c r="A4065" s="5"/>
    </row>
    <row r="4066">
      <c r="A4066" s="5"/>
    </row>
    <row r="4067">
      <c r="A4067" s="5"/>
    </row>
    <row r="4068">
      <c r="A4068" s="5"/>
    </row>
    <row r="4069">
      <c r="A4069" s="5"/>
      <c r="M4069" s="48"/>
    </row>
    <row r="4070">
      <c r="A4070" s="5"/>
    </row>
    <row r="4071">
      <c r="A4071" s="5"/>
    </row>
    <row r="4072">
      <c r="A4072" s="5"/>
    </row>
    <row r="4073">
      <c r="A4073" s="5"/>
      <c r="M4073" s="48"/>
    </row>
    <row r="4074">
      <c r="A4074" s="5"/>
      <c r="M4074" s="48"/>
    </row>
    <row r="4075">
      <c r="A4075" s="5"/>
    </row>
    <row r="4076">
      <c r="A4076" s="5"/>
      <c r="M4076" s="48"/>
    </row>
    <row r="4077">
      <c r="A4077" s="5"/>
      <c r="M4077" s="48"/>
    </row>
    <row r="4078">
      <c r="A4078" s="5"/>
    </row>
    <row r="4079">
      <c r="A4079" s="5"/>
    </row>
    <row r="4080">
      <c r="A4080" s="5"/>
    </row>
    <row r="4081">
      <c r="A4081" s="5"/>
    </row>
    <row r="4082">
      <c r="A4082" s="5"/>
      <c r="M4082" s="48"/>
    </row>
    <row r="4083">
      <c r="A4083" s="5"/>
    </row>
    <row r="4084">
      <c r="A4084" s="5"/>
      <c r="M4084" s="48"/>
    </row>
    <row r="4085">
      <c r="A4085" s="5"/>
    </row>
    <row r="4086">
      <c r="A4086" s="5"/>
    </row>
    <row r="4087">
      <c r="A4087" s="5"/>
    </row>
    <row r="4088">
      <c r="A4088" s="5"/>
    </row>
    <row r="4089">
      <c r="A4089" s="5"/>
    </row>
    <row r="4090">
      <c r="A4090" s="5"/>
    </row>
    <row r="4091">
      <c r="A4091" s="5"/>
    </row>
    <row r="4092">
      <c r="A4092" s="5"/>
    </row>
    <row r="4093">
      <c r="A4093" s="5"/>
    </row>
    <row r="4094">
      <c r="A4094" s="5"/>
    </row>
    <row r="4095">
      <c r="A4095" s="5"/>
    </row>
    <row r="4096">
      <c r="A4096" s="5"/>
    </row>
    <row r="4097">
      <c r="A4097" s="5"/>
    </row>
    <row r="4098">
      <c r="A4098" s="5"/>
    </row>
    <row r="4099">
      <c r="A4099" s="5"/>
    </row>
    <row r="4100">
      <c r="A4100" s="5"/>
    </row>
    <row r="4101">
      <c r="A4101" s="5"/>
    </row>
    <row r="4102">
      <c r="A4102" s="5"/>
    </row>
    <row r="4103">
      <c r="A4103" s="5"/>
    </row>
    <row r="4104">
      <c r="A4104" s="5"/>
    </row>
    <row r="4105">
      <c r="A4105" s="5"/>
    </row>
    <row r="4106">
      <c r="A4106" s="5"/>
    </row>
    <row r="4107">
      <c r="A4107" s="5"/>
    </row>
    <row r="4108">
      <c r="A4108" s="5"/>
    </row>
    <row r="4109">
      <c r="A4109" s="5"/>
    </row>
    <row r="4110">
      <c r="A4110" s="5"/>
    </row>
    <row r="4111">
      <c r="A4111" s="5"/>
    </row>
    <row r="4112">
      <c r="A4112" s="5"/>
    </row>
    <row r="4113">
      <c r="A4113" s="5"/>
    </row>
    <row r="4114">
      <c r="A4114" s="5"/>
    </row>
    <row r="4115">
      <c r="A4115" s="5"/>
    </row>
    <row r="4116">
      <c r="A4116" s="5"/>
    </row>
    <row r="4117">
      <c r="A4117" s="5"/>
    </row>
    <row r="4118">
      <c r="A4118" s="5"/>
    </row>
    <row r="4119">
      <c r="A4119" s="5"/>
    </row>
    <row r="4120">
      <c r="A4120" s="5"/>
    </row>
    <row r="4121">
      <c r="A4121" s="5"/>
    </row>
    <row r="4122">
      <c r="A4122" s="5"/>
    </row>
    <row r="4123">
      <c r="A4123" s="5"/>
    </row>
    <row r="4124">
      <c r="A4124" s="5"/>
    </row>
    <row r="4125">
      <c r="A4125" s="5"/>
    </row>
    <row r="4126">
      <c r="A4126" s="5"/>
    </row>
    <row r="4127">
      <c r="A4127" s="5"/>
    </row>
    <row r="4128">
      <c r="A4128" s="5"/>
    </row>
    <row r="4129">
      <c r="A4129" s="5"/>
    </row>
    <row r="4130">
      <c r="A4130" s="5"/>
    </row>
    <row r="4131">
      <c r="A4131" s="5"/>
    </row>
    <row r="4132">
      <c r="A4132" s="5"/>
    </row>
    <row r="4133">
      <c r="A4133" s="5"/>
    </row>
    <row r="4134">
      <c r="A4134" s="5"/>
    </row>
    <row r="4135">
      <c r="A4135" s="5"/>
    </row>
    <row r="4136">
      <c r="A4136" s="5"/>
    </row>
    <row r="4137">
      <c r="A4137" s="5"/>
    </row>
    <row r="4138">
      <c r="A4138" s="5"/>
      <c r="M4138" s="48"/>
    </row>
    <row r="4139">
      <c r="A4139" s="5"/>
      <c r="M4139" s="48"/>
    </row>
    <row r="4140">
      <c r="A4140" s="5"/>
    </row>
    <row r="4141">
      <c r="A4141" s="5"/>
    </row>
    <row r="4142">
      <c r="A4142" s="5"/>
    </row>
    <row r="4143">
      <c r="A4143" s="5"/>
    </row>
    <row r="4144">
      <c r="A4144" s="5"/>
      <c r="M4144" s="48"/>
    </row>
    <row r="4145">
      <c r="A4145" s="5"/>
    </row>
    <row r="4146">
      <c r="A4146" s="5"/>
      <c r="M4146" s="48"/>
    </row>
    <row r="4147">
      <c r="A4147" s="5"/>
      <c r="M4147" s="48"/>
    </row>
    <row r="4148">
      <c r="A4148" s="5"/>
      <c r="M4148" s="48"/>
    </row>
    <row r="4149">
      <c r="A4149" s="5"/>
    </row>
    <row r="4150">
      <c r="A4150" s="5"/>
    </row>
    <row r="4151">
      <c r="A4151" s="5"/>
    </row>
    <row r="4152">
      <c r="A4152" s="5"/>
    </row>
    <row r="4153">
      <c r="A4153" s="5"/>
    </row>
    <row r="4154">
      <c r="A4154" s="5"/>
    </row>
    <row r="4155">
      <c r="A4155" s="5"/>
    </row>
    <row r="4156">
      <c r="A4156" s="5"/>
    </row>
    <row r="4157">
      <c r="A4157" s="5"/>
    </row>
    <row r="4158">
      <c r="A4158" s="5"/>
    </row>
    <row r="4159">
      <c r="A4159" s="5"/>
    </row>
    <row r="4160">
      <c r="A4160" s="5"/>
      <c r="M4160" s="48"/>
    </row>
    <row r="4161">
      <c r="A4161" s="5"/>
    </row>
    <row r="4162">
      <c r="A4162" s="5"/>
    </row>
    <row r="4163">
      <c r="A4163" s="5"/>
      <c r="M4163" s="48"/>
    </row>
    <row r="4164">
      <c r="A4164" s="5"/>
      <c r="M4164" s="48"/>
    </row>
    <row r="4165">
      <c r="A4165" s="5"/>
      <c r="M4165" s="48"/>
    </row>
    <row r="4166">
      <c r="A4166" s="5"/>
    </row>
    <row r="4167">
      <c r="A4167" s="5"/>
      <c r="M4167" s="48"/>
    </row>
    <row r="4168">
      <c r="A4168" s="5"/>
      <c r="M4168" s="48"/>
    </row>
    <row r="4169">
      <c r="A4169" s="5"/>
      <c r="M4169" s="48"/>
    </row>
    <row r="4170">
      <c r="A4170" s="5"/>
    </row>
    <row r="4171">
      <c r="A4171" s="5"/>
      <c r="M4171" s="48"/>
    </row>
    <row r="4172">
      <c r="A4172" s="5"/>
      <c r="M4172" s="48"/>
    </row>
    <row r="4173">
      <c r="A4173" s="5"/>
      <c r="M4173" s="48"/>
    </row>
    <row r="4174">
      <c r="A4174" s="5"/>
    </row>
    <row r="4175">
      <c r="A4175" s="5"/>
    </row>
    <row r="4176">
      <c r="A4176" s="5"/>
    </row>
    <row r="4177">
      <c r="A4177" s="5"/>
    </row>
    <row r="4178">
      <c r="A4178" s="5"/>
    </row>
    <row r="4179">
      <c r="A4179" s="5"/>
    </row>
    <row r="4180">
      <c r="A4180" s="5"/>
    </row>
    <row r="4181">
      <c r="A4181" s="5"/>
    </row>
    <row r="4182">
      <c r="A4182" s="5"/>
    </row>
    <row r="4183">
      <c r="A4183" s="5"/>
    </row>
    <row r="4184">
      <c r="A4184" s="5"/>
      <c r="M4184" s="48"/>
    </row>
    <row r="4185">
      <c r="A4185" s="5"/>
    </row>
    <row r="4186">
      <c r="A4186" s="5"/>
      <c r="M4186" s="48"/>
    </row>
    <row r="4187">
      <c r="A4187" s="5"/>
      <c r="M4187" s="48"/>
    </row>
    <row r="4188">
      <c r="A4188" s="5"/>
      <c r="M4188" s="48"/>
    </row>
    <row r="4189">
      <c r="A4189" s="5"/>
      <c r="M4189" s="48"/>
    </row>
    <row r="4190">
      <c r="A4190" s="5"/>
      <c r="M4190" s="48"/>
    </row>
    <row r="4191">
      <c r="A4191" s="5"/>
      <c r="M4191" s="48"/>
    </row>
    <row r="4192">
      <c r="A4192" s="5"/>
    </row>
    <row r="4193">
      <c r="A4193" s="5"/>
      <c r="M4193" s="48"/>
    </row>
    <row r="4194">
      <c r="A4194" s="5"/>
      <c r="M4194" s="48"/>
    </row>
    <row r="4195">
      <c r="A4195" s="5"/>
    </row>
    <row r="4196">
      <c r="A4196" s="5"/>
    </row>
    <row r="4197">
      <c r="A4197" s="5"/>
      <c r="M4197" s="48"/>
    </row>
    <row r="4198">
      <c r="A4198" s="5"/>
      <c r="M4198" s="48"/>
    </row>
    <row r="4199">
      <c r="A4199" s="5"/>
    </row>
    <row r="4200">
      <c r="A4200" s="5"/>
      <c r="M4200" s="48"/>
    </row>
    <row r="4201">
      <c r="A4201" s="5"/>
      <c r="M4201" s="48"/>
    </row>
    <row r="4202">
      <c r="A4202" s="5"/>
    </row>
    <row r="4203">
      <c r="A4203" s="5"/>
    </row>
    <row r="4204">
      <c r="A4204" s="5"/>
    </row>
    <row r="4205">
      <c r="A4205" s="5"/>
      <c r="M4205" s="48"/>
    </row>
    <row r="4206">
      <c r="A4206" s="5"/>
    </row>
    <row r="4207">
      <c r="A4207" s="5"/>
    </row>
    <row r="4208">
      <c r="A4208" s="5"/>
      <c r="M4208" s="48"/>
    </row>
    <row r="4209">
      <c r="A4209" s="5"/>
    </row>
    <row r="4210">
      <c r="A4210" s="5"/>
      <c r="M4210" s="48"/>
    </row>
    <row r="4211">
      <c r="A4211" s="5"/>
      <c r="M4211" s="48"/>
    </row>
    <row r="4212">
      <c r="A4212" s="5"/>
    </row>
    <row r="4213">
      <c r="A4213" s="5"/>
    </row>
    <row r="4214">
      <c r="A4214" s="5"/>
    </row>
    <row r="4215">
      <c r="A4215" s="5"/>
    </row>
    <row r="4216">
      <c r="A4216" s="5"/>
    </row>
    <row r="4217">
      <c r="A4217" s="5"/>
    </row>
    <row r="4218">
      <c r="A4218" s="5"/>
    </row>
    <row r="4219">
      <c r="A4219" s="5"/>
    </row>
    <row r="4220">
      <c r="A4220" s="5"/>
    </row>
    <row r="4221">
      <c r="A4221" s="5"/>
    </row>
    <row r="4222">
      <c r="A4222" s="5"/>
    </row>
    <row r="4223">
      <c r="A4223" s="5"/>
    </row>
    <row r="4224">
      <c r="A4224" s="5"/>
    </row>
    <row r="4225">
      <c r="A4225" s="5"/>
    </row>
    <row r="4226">
      <c r="A4226" s="5"/>
    </row>
    <row r="4227">
      <c r="A4227" s="5"/>
    </row>
    <row r="4228">
      <c r="A4228" s="5"/>
    </row>
    <row r="4229">
      <c r="A4229" s="5"/>
    </row>
    <row r="4230">
      <c r="A4230" s="5"/>
    </row>
    <row r="4231">
      <c r="A4231" s="5"/>
    </row>
    <row r="4232">
      <c r="A4232" s="5"/>
    </row>
    <row r="4233">
      <c r="A4233" s="5"/>
    </row>
    <row r="4234">
      <c r="A4234" s="5"/>
    </row>
    <row r="4235">
      <c r="A4235" s="5"/>
    </row>
    <row r="4236">
      <c r="A4236" s="5"/>
    </row>
    <row r="4237">
      <c r="A4237" s="5"/>
    </row>
    <row r="4238">
      <c r="A4238" s="5"/>
    </row>
    <row r="4239">
      <c r="A4239" s="5"/>
    </row>
    <row r="4240">
      <c r="A4240" s="5"/>
    </row>
    <row r="4241">
      <c r="A4241" s="5"/>
    </row>
    <row r="4242">
      <c r="A4242" s="5"/>
    </row>
    <row r="4243">
      <c r="A4243" s="5"/>
    </row>
    <row r="4244">
      <c r="A4244" s="5"/>
    </row>
    <row r="4245">
      <c r="A4245" s="5"/>
    </row>
    <row r="4246">
      <c r="A4246" s="5"/>
    </row>
    <row r="4247">
      <c r="A4247" s="5"/>
    </row>
    <row r="4248">
      <c r="A4248" s="5"/>
    </row>
    <row r="4249">
      <c r="A4249" s="5"/>
    </row>
    <row r="4250">
      <c r="A4250" s="5"/>
    </row>
    <row r="4251">
      <c r="A4251" s="5"/>
    </row>
    <row r="4252">
      <c r="A4252" s="5"/>
    </row>
    <row r="4253">
      <c r="A4253" s="5"/>
    </row>
    <row r="4254">
      <c r="A4254" s="5"/>
    </row>
    <row r="4255">
      <c r="A4255" s="5"/>
    </row>
    <row r="4256">
      <c r="A4256" s="5"/>
    </row>
    <row r="4257">
      <c r="A4257" s="5"/>
    </row>
    <row r="4258">
      <c r="A4258" s="5"/>
    </row>
    <row r="4259">
      <c r="A4259" s="5"/>
    </row>
    <row r="4260">
      <c r="A4260" s="5"/>
    </row>
    <row r="4261">
      <c r="A4261" s="5"/>
    </row>
    <row r="4262">
      <c r="A4262" s="5"/>
    </row>
    <row r="4263">
      <c r="A4263" s="5"/>
    </row>
    <row r="4264">
      <c r="A4264" s="5"/>
    </row>
    <row r="4265">
      <c r="A4265" s="5"/>
    </row>
    <row r="4266">
      <c r="A4266" s="5"/>
    </row>
    <row r="4267">
      <c r="A4267" s="5"/>
    </row>
    <row r="4268">
      <c r="A4268" s="5"/>
    </row>
    <row r="4269">
      <c r="A4269" s="5"/>
    </row>
    <row r="4270">
      <c r="A4270" s="5"/>
    </row>
    <row r="4271">
      <c r="A4271" s="5"/>
    </row>
    <row r="4272">
      <c r="A4272" s="5"/>
    </row>
    <row r="4273">
      <c r="A4273" s="5"/>
    </row>
    <row r="4274">
      <c r="A4274" s="5"/>
    </row>
    <row r="4275">
      <c r="A4275" s="5"/>
    </row>
    <row r="4276">
      <c r="A4276" s="5"/>
    </row>
    <row r="4277">
      <c r="A4277" s="5"/>
    </row>
    <row r="4278">
      <c r="A4278" s="5"/>
    </row>
    <row r="4279">
      <c r="A4279" s="5"/>
    </row>
    <row r="4280">
      <c r="A4280" s="5"/>
    </row>
    <row r="4281">
      <c r="A4281" s="5"/>
    </row>
    <row r="4282">
      <c r="A4282" s="5"/>
    </row>
    <row r="4283">
      <c r="A4283" s="5"/>
    </row>
    <row r="4284">
      <c r="A4284" s="5"/>
    </row>
    <row r="4285">
      <c r="A4285" s="5"/>
    </row>
    <row r="4286">
      <c r="A4286" s="5"/>
    </row>
    <row r="4287">
      <c r="A4287" s="5"/>
    </row>
    <row r="4288">
      <c r="A4288" s="5"/>
    </row>
    <row r="4289">
      <c r="A4289" s="5"/>
    </row>
    <row r="4290">
      <c r="A4290" s="5"/>
    </row>
    <row r="4291">
      <c r="A4291" s="5"/>
    </row>
    <row r="4292">
      <c r="A4292" s="5"/>
    </row>
    <row r="4293">
      <c r="A4293" s="5"/>
    </row>
    <row r="4294">
      <c r="A4294" s="5"/>
    </row>
    <row r="4295">
      <c r="A4295" s="5"/>
    </row>
    <row r="4296">
      <c r="A4296" s="5"/>
    </row>
    <row r="4297">
      <c r="A4297" s="5"/>
    </row>
    <row r="4298">
      <c r="A4298" s="5"/>
    </row>
    <row r="4299">
      <c r="A4299" s="5"/>
    </row>
    <row r="4300">
      <c r="A4300" s="5"/>
    </row>
    <row r="4301">
      <c r="A4301" s="5"/>
    </row>
    <row r="4302">
      <c r="A4302" s="5"/>
    </row>
    <row r="4303">
      <c r="A4303" s="5"/>
    </row>
    <row r="4304">
      <c r="A4304" s="5"/>
    </row>
    <row r="4305">
      <c r="A4305" s="5"/>
    </row>
    <row r="4306">
      <c r="A4306" s="5"/>
    </row>
    <row r="4307">
      <c r="A4307" s="5"/>
    </row>
    <row r="4308">
      <c r="A4308" s="5"/>
    </row>
    <row r="4309">
      <c r="A4309" s="5"/>
    </row>
    <row r="4310">
      <c r="A4310" s="5"/>
    </row>
    <row r="4311">
      <c r="A4311" s="5"/>
    </row>
    <row r="4312">
      <c r="A4312" s="5"/>
    </row>
    <row r="4313">
      <c r="A4313" s="5"/>
    </row>
    <row r="4314">
      <c r="A4314" s="5"/>
    </row>
    <row r="4315">
      <c r="A4315" s="5"/>
    </row>
    <row r="4316">
      <c r="A4316" s="5"/>
    </row>
    <row r="4317">
      <c r="A4317" s="5"/>
    </row>
    <row r="4318">
      <c r="A4318" s="5"/>
    </row>
    <row r="4319">
      <c r="A4319" s="5"/>
    </row>
    <row r="4320">
      <c r="A4320" s="5"/>
    </row>
    <row r="4321">
      <c r="A4321" s="5"/>
    </row>
    <row r="4322">
      <c r="A4322" s="5"/>
    </row>
    <row r="4323">
      <c r="A4323" s="5"/>
    </row>
    <row r="4324">
      <c r="A4324" s="5"/>
    </row>
    <row r="4325">
      <c r="A4325" s="5"/>
    </row>
    <row r="4326">
      <c r="A4326" s="5"/>
    </row>
    <row r="4327">
      <c r="A4327" s="5"/>
    </row>
    <row r="4328">
      <c r="A4328" s="5"/>
    </row>
    <row r="4329">
      <c r="A4329" s="5"/>
    </row>
    <row r="4330">
      <c r="A4330" s="5"/>
    </row>
    <row r="4331">
      <c r="A4331" s="5"/>
    </row>
    <row r="4332">
      <c r="A4332" s="5"/>
    </row>
    <row r="4333">
      <c r="A4333" s="5"/>
    </row>
    <row r="4334">
      <c r="A4334" s="5"/>
    </row>
    <row r="4335">
      <c r="A4335" s="5"/>
    </row>
    <row r="4336">
      <c r="A4336" s="5"/>
    </row>
    <row r="4337">
      <c r="A4337" s="5"/>
    </row>
    <row r="4338">
      <c r="A4338" s="5"/>
    </row>
    <row r="4339">
      <c r="A4339" s="5"/>
    </row>
    <row r="4340">
      <c r="A4340" s="5"/>
    </row>
    <row r="4341">
      <c r="A4341" s="5"/>
    </row>
    <row r="4342">
      <c r="A4342" s="5"/>
    </row>
    <row r="4343">
      <c r="A4343" s="5"/>
    </row>
    <row r="4344">
      <c r="A4344" s="5"/>
    </row>
    <row r="4345">
      <c r="A4345" s="5"/>
    </row>
    <row r="4346">
      <c r="A4346" s="5"/>
    </row>
    <row r="4347">
      <c r="A4347" s="5"/>
    </row>
    <row r="4348">
      <c r="A4348" s="5"/>
    </row>
    <row r="4349">
      <c r="A4349" s="5"/>
    </row>
    <row r="4350">
      <c r="A4350" s="5"/>
    </row>
    <row r="4351">
      <c r="A4351" s="5"/>
    </row>
    <row r="4352">
      <c r="A4352" s="5"/>
    </row>
    <row r="4353">
      <c r="A4353" s="5"/>
    </row>
    <row r="4354">
      <c r="A4354" s="5"/>
    </row>
    <row r="4355">
      <c r="A4355" s="5"/>
    </row>
    <row r="4356">
      <c r="A4356" s="5"/>
    </row>
    <row r="4357">
      <c r="A4357" s="5"/>
    </row>
    <row r="4358">
      <c r="A4358" s="5"/>
    </row>
    <row r="4359">
      <c r="A4359" s="5"/>
    </row>
    <row r="4360">
      <c r="A4360" s="5"/>
    </row>
    <row r="4361">
      <c r="A4361" s="5"/>
    </row>
    <row r="4362">
      <c r="A4362" s="5"/>
    </row>
    <row r="4363">
      <c r="A4363" s="5"/>
    </row>
    <row r="4364">
      <c r="A4364" s="5"/>
    </row>
    <row r="4365">
      <c r="A4365" s="5"/>
    </row>
    <row r="4366">
      <c r="A4366" s="5"/>
    </row>
    <row r="4367">
      <c r="A4367" s="5"/>
    </row>
    <row r="4368">
      <c r="A4368" s="5"/>
    </row>
    <row r="4369">
      <c r="A4369" s="5"/>
    </row>
    <row r="4370">
      <c r="A4370" s="5"/>
    </row>
    <row r="4371">
      <c r="A4371" s="5"/>
    </row>
    <row r="4372">
      <c r="A4372" s="5"/>
    </row>
    <row r="4373">
      <c r="A4373" s="5"/>
    </row>
    <row r="4374">
      <c r="A4374" s="5"/>
    </row>
    <row r="4375">
      <c r="A4375" s="5"/>
    </row>
    <row r="4376">
      <c r="A4376" s="5"/>
    </row>
    <row r="4377">
      <c r="A4377" s="5"/>
    </row>
    <row r="4378">
      <c r="A4378" s="5"/>
    </row>
    <row r="4379">
      <c r="A4379" s="5"/>
    </row>
    <row r="4380">
      <c r="A4380" s="5"/>
    </row>
    <row r="4381">
      <c r="A4381" s="5"/>
    </row>
    <row r="4382">
      <c r="A4382" s="5"/>
    </row>
    <row r="4383">
      <c r="A4383" s="5"/>
    </row>
    <row r="4384">
      <c r="A4384" s="5"/>
    </row>
    <row r="4385">
      <c r="A4385" s="5"/>
    </row>
    <row r="4386">
      <c r="A4386" s="5"/>
    </row>
    <row r="4387">
      <c r="A4387" s="5"/>
    </row>
    <row r="4388">
      <c r="A4388" s="5"/>
    </row>
    <row r="4389">
      <c r="A4389" s="5"/>
    </row>
    <row r="4390">
      <c r="A4390" s="5"/>
    </row>
    <row r="4391">
      <c r="A4391" s="5"/>
    </row>
    <row r="4392">
      <c r="A4392" s="5"/>
    </row>
    <row r="4393">
      <c r="A4393" s="5"/>
    </row>
    <row r="4394">
      <c r="A4394" s="5"/>
    </row>
    <row r="4395">
      <c r="A4395" s="5"/>
    </row>
    <row r="4396">
      <c r="A4396" s="5"/>
    </row>
    <row r="4397">
      <c r="A4397" s="5"/>
    </row>
    <row r="4398">
      <c r="A4398" s="5"/>
    </row>
    <row r="4399">
      <c r="A4399" s="5"/>
    </row>
    <row r="4400">
      <c r="A4400" s="5"/>
    </row>
    <row r="4401">
      <c r="A4401" s="5"/>
    </row>
    <row r="4402">
      <c r="A4402" s="5"/>
    </row>
    <row r="4403">
      <c r="A4403" s="5"/>
    </row>
    <row r="4404">
      <c r="A4404" s="5"/>
    </row>
    <row r="4405">
      <c r="A4405" s="5"/>
    </row>
    <row r="4406">
      <c r="A4406" s="5"/>
    </row>
    <row r="4407">
      <c r="A4407" s="5"/>
    </row>
    <row r="4408">
      <c r="A4408" s="5"/>
    </row>
    <row r="4409">
      <c r="A4409" s="5"/>
    </row>
    <row r="4410">
      <c r="A4410" s="5"/>
    </row>
    <row r="4411">
      <c r="A4411" s="5"/>
    </row>
    <row r="4412">
      <c r="A4412" s="5"/>
    </row>
    <row r="4413">
      <c r="A4413" s="5"/>
    </row>
    <row r="4414">
      <c r="A4414" s="5"/>
    </row>
    <row r="4415">
      <c r="A4415" s="5"/>
    </row>
    <row r="4416">
      <c r="A4416" s="5"/>
    </row>
    <row r="4417">
      <c r="A4417" s="5"/>
    </row>
    <row r="4418">
      <c r="A4418" s="5"/>
    </row>
    <row r="4419">
      <c r="A4419" s="5"/>
    </row>
    <row r="4420">
      <c r="A4420" s="5"/>
    </row>
    <row r="4421">
      <c r="A4421" s="5"/>
    </row>
    <row r="4422">
      <c r="A4422" s="5"/>
    </row>
    <row r="4423">
      <c r="A4423" s="5"/>
    </row>
    <row r="4424">
      <c r="A4424" s="5"/>
    </row>
    <row r="4425">
      <c r="A4425" s="5"/>
    </row>
    <row r="4426">
      <c r="A4426" s="5"/>
    </row>
    <row r="4427">
      <c r="A4427" s="5"/>
    </row>
    <row r="4428">
      <c r="A4428" s="5"/>
    </row>
    <row r="4429">
      <c r="A4429" s="5"/>
    </row>
    <row r="4430">
      <c r="A4430" s="5"/>
    </row>
    <row r="4431">
      <c r="A4431" s="5"/>
    </row>
    <row r="4432">
      <c r="A4432" s="5"/>
    </row>
    <row r="4433">
      <c r="A4433" s="5"/>
    </row>
    <row r="4434">
      <c r="A4434" s="5"/>
    </row>
    <row r="4435">
      <c r="A4435" s="5"/>
    </row>
    <row r="4436">
      <c r="A4436" s="5"/>
    </row>
    <row r="4437">
      <c r="A4437" s="5"/>
    </row>
    <row r="4438">
      <c r="A4438" s="5"/>
    </row>
    <row r="4439">
      <c r="A4439" s="5"/>
    </row>
    <row r="4440">
      <c r="A4440" s="5"/>
    </row>
    <row r="4441">
      <c r="A4441" s="5"/>
    </row>
    <row r="4442">
      <c r="A4442" s="5"/>
    </row>
    <row r="4443">
      <c r="A4443" s="5"/>
    </row>
    <row r="4444">
      <c r="A4444" s="5"/>
    </row>
    <row r="4445">
      <c r="A4445" s="5"/>
    </row>
    <row r="4446">
      <c r="A4446" s="5"/>
    </row>
    <row r="4447">
      <c r="A4447" s="5"/>
    </row>
    <row r="4448">
      <c r="A4448" s="5"/>
    </row>
    <row r="4449">
      <c r="A4449" s="5"/>
    </row>
    <row r="4450">
      <c r="A4450" s="5"/>
    </row>
    <row r="4451">
      <c r="A4451" s="5"/>
    </row>
    <row r="4452">
      <c r="A4452" s="5"/>
    </row>
    <row r="4453">
      <c r="A4453" s="5"/>
    </row>
    <row r="4454">
      <c r="A4454" s="5"/>
    </row>
    <row r="4455">
      <c r="A4455" s="5"/>
    </row>
    <row r="4456">
      <c r="A4456" s="5"/>
    </row>
    <row r="4457">
      <c r="A4457" s="5"/>
    </row>
    <row r="4458">
      <c r="A4458" s="5"/>
    </row>
    <row r="4459">
      <c r="A4459" s="5"/>
    </row>
    <row r="4460">
      <c r="A4460" s="5"/>
    </row>
    <row r="4461">
      <c r="A4461" s="5"/>
    </row>
    <row r="4462">
      <c r="A4462" s="5"/>
    </row>
    <row r="4463">
      <c r="A4463" s="5"/>
    </row>
    <row r="4464">
      <c r="A4464" s="5"/>
    </row>
    <row r="4465">
      <c r="A4465" s="5"/>
    </row>
    <row r="4466">
      <c r="A4466" s="5"/>
    </row>
    <row r="4467">
      <c r="A4467" s="5"/>
    </row>
    <row r="4468">
      <c r="A4468" s="5"/>
    </row>
    <row r="4469">
      <c r="A4469" s="5"/>
    </row>
    <row r="4470">
      <c r="A4470" s="5"/>
    </row>
    <row r="4471">
      <c r="A4471" s="5"/>
    </row>
    <row r="4472">
      <c r="A4472" s="5"/>
    </row>
    <row r="4473">
      <c r="A4473" s="5"/>
    </row>
    <row r="4474">
      <c r="A4474" s="5"/>
    </row>
    <row r="4475">
      <c r="A4475" s="5"/>
    </row>
    <row r="4476">
      <c r="A4476" s="5"/>
    </row>
    <row r="4477">
      <c r="A4477" s="5"/>
    </row>
    <row r="4478">
      <c r="A4478" s="5"/>
    </row>
    <row r="4479">
      <c r="A4479" s="5"/>
    </row>
    <row r="4480">
      <c r="A4480" s="5"/>
    </row>
    <row r="4481">
      <c r="A4481" s="5"/>
    </row>
    <row r="4482">
      <c r="A4482" s="5"/>
    </row>
    <row r="4483">
      <c r="A4483" s="5"/>
    </row>
    <row r="4484">
      <c r="A4484" s="5"/>
    </row>
    <row r="4485">
      <c r="A4485" s="5"/>
    </row>
    <row r="4486">
      <c r="A4486" s="5"/>
    </row>
    <row r="4487">
      <c r="A4487" s="5"/>
    </row>
    <row r="4488">
      <c r="A4488" s="5"/>
    </row>
    <row r="4489">
      <c r="A4489" s="5"/>
    </row>
    <row r="4490">
      <c r="A4490" s="5"/>
    </row>
    <row r="4491">
      <c r="A4491" s="5"/>
    </row>
    <row r="4492">
      <c r="A4492" s="5"/>
    </row>
    <row r="4493">
      <c r="A4493" s="5"/>
    </row>
    <row r="4494">
      <c r="A4494" s="5"/>
    </row>
    <row r="4495">
      <c r="A4495" s="5"/>
    </row>
    <row r="4496">
      <c r="A4496" s="5"/>
    </row>
    <row r="4497">
      <c r="A4497" s="5"/>
    </row>
    <row r="4498">
      <c r="A4498" s="5"/>
    </row>
    <row r="4499">
      <c r="A4499" s="5"/>
    </row>
    <row r="4500">
      <c r="A4500" s="5"/>
    </row>
    <row r="4501">
      <c r="A4501" s="5"/>
    </row>
    <row r="4502">
      <c r="A4502" s="5"/>
    </row>
    <row r="4503">
      <c r="A4503" s="5"/>
    </row>
    <row r="4504">
      <c r="A4504" s="5"/>
    </row>
    <row r="4505">
      <c r="A4505" s="5"/>
    </row>
    <row r="4506">
      <c r="A4506" s="5"/>
    </row>
    <row r="4507">
      <c r="A4507" s="5"/>
    </row>
    <row r="4508">
      <c r="A4508" s="5"/>
    </row>
    <row r="4509">
      <c r="A4509" s="5"/>
    </row>
    <row r="4510">
      <c r="A4510" s="5"/>
    </row>
    <row r="4511">
      <c r="A4511" s="5"/>
    </row>
    <row r="4512">
      <c r="A4512" s="5"/>
    </row>
    <row r="4513">
      <c r="A4513" s="5"/>
    </row>
    <row r="4514">
      <c r="A4514" s="5"/>
    </row>
    <row r="4515">
      <c r="A4515" s="5"/>
    </row>
    <row r="4516">
      <c r="A4516" s="5"/>
    </row>
    <row r="4517">
      <c r="A4517" s="5"/>
    </row>
    <row r="4518">
      <c r="A4518" s="5"/>
    </row>
    <row r="4519">
      <c r="A4519" s="5"/>
    </row>
    <row r="4520">
      <c r="A4520" s="5"/>
    </row>
    <row r="4521">
      <c r="A4521" s="5"/>
    </row>
    <row r="4522">
      <c r="A4522" s="5"/>
    </row>
    <row r="4523">
      <c r="A4523" s="5"/>
    </row>
    <row r="4524">
      <c r="A4524" s="5"/>
    </row>
    <row r="4525">
      <c r="A4525" s="5"/>
    </row>
    <row r="4526">
      <c r="A4526" s="5"/>
    </row>
    <row r="4527">
      <c r="A4527" s="5"/>
    </row>
    <row r="4528">
      <c r="A4528" s="5"/>
    </row>
    <row r="4529">
      <c r="A4529" s="5"/>
    </row>
    <row r="4530">
      <c r="A4530" s="5"/>
    </row>
    <row r="4531">
      <c r="A4531" s="5"/>
    </row>
    <row r="4532">
      <c r="A4532" s="5"/>
    </row>
    <row r="4533">
      <c r="A4533" s="5"/>
    </row>
    <row r="4534">
      <c r="A4534" s="5"/>
    </row>
    <row r="4535">
      <c r="A4535" s="5"/>
    </row>
    <row r="4536">
      <c r="A4536" s="5"/>
    </row>
    <row r="4537">
      <c r="A4537" s="5"/>
    </row>
    <row r="4538">
      <c r="A4538" s="5"/>
    </row>
    <row r="4539">
      <c r="A4539" s="5"/>
    </row>
    <row r="4540">
      <c r="A4540" s="5"/>
    </row>
    <row r="4541">
      <c r="A4541" s="5"/>
    </row>
    <row r="4542">
      <c r="A4542" s="5"/>
    </row>
    <row r="4543">
      <c r="A4543" s="5"/>
    </row>
    <row r="4544">
      <c r="A4544" s="5"/>
    </row>
    <row r="4545">
      <c r="A4545" s="5"/>
    </row>
    <row r="4546">
      <c r="A4546" s="5"/>
    </row>
    <row r="4547">
      <c r="A4547" s="5"/>
    </row>
    <row r="4548">
      <c r="A4548" s="5"/>
    </row>
    <row r="4549">
      <c r="A4549" s="5"/>
    </row>
    <row r="4550">
      <c r="A4550" s="5"/>
    </row>
    <row r="4551">
      <c r="A4551" s="5"/>
    </row>
    <row r="4552">
      <c r="A4552" s="5"/>
    </row>
    <row r="4553">
      <c r="A4553" s="5"/>
    </row>
    <row r="4554">
      <c r="A4554" s="5"/>
    </row>
    <row r="4555">
      <c r="A4555" s="5"/>
    </row>
    <row r="4556">
      <c r="A4556" s="5"/>
    </row>
    <row r="4557">
      <c r="A4557" s="5"/>
    </row>
    <row r="4558">
      <c r="A4558" s="5"/>
    </row>
    <row r="4559">
      <c r="A4559" s="5"/>
    </row>
    <row r="4560">
      <c r="A4560" s="5"/>
    </row>
    <row r="4561">
      <c r="A4561" s="5"/>
    </row>
    <row r="4562">
      <c r="A4562" s="5"/>
    </row>
    <row r="4563">
      <c r="A4563" s="5"/>
    </row>
    <row r="4564">
      <c r="A4564" s="5"/>
    </row>
    <row r="4565">
      <c r="A4565" s="5"/>
    </row>
    <row r="4566">
      <c r="A4566" s="5"/>
    </row>
    <row r="4567">
      <c r="A4567" s="5"/>
    </row>
    <row r="4568">
      <c r="A4568" s="5"/>
    </row>
    <row r="4569">
      <c r="A4569" s="5"/>
    </row>
    <row r="4570">
      <c r="A4570" s="5"/>
    </row>
    <row r="4571">
      <c r="A4571" s="5"/>
    </row>
    <row r="4572">
      <c r="A4572" s="5"/>
      <c r="M4572" s="48"/>
    </row>
    <row r="4573">
      <c r="A4573" s="5"/>
    </row>
    <row r="4574">
      <c r="A4574" s="5"/>
      <c r="M4574" s="48"/>
    </row>
    <row r="4575">
      <c r="A4575" s="5"/>
    </row>
    <row r="4576">
      <c r="A4576" s="5"/>
    </row>
    <row r="4577">
      <c r="A4577" s="5"/>
    </row>
    <row r="4578">
      <c r="A4578" s="5"/>
    </row>
    <row r="4579">
      <c r="A4579" s="5"/>
      <c r="M4579" s="48"/>
    </row>
    <row r="4580">
      <c r="A4580" s="5"/>
    </row>
    <row r="4581">
      <c r="A4581" s="5"/>
      <c r="M4581" s="48"/>
    </row>
    <row r="4582">
      <c r="A4582" s="5"/>
    </row>
    <row r="4583">
      <c r="A4583" s="5"/>
    </row>
    <row r="4584">
      <c r="A4584" s="5"/>
      <c r="M4584" s="48"/>
    </row>
    <row r="4585">
      <c r="A4585" s="5"/>
      <c r="M4585" s="48"/>
    </row>
    <row r="4586">
      <c r="A4586" s="5"/>
    </row>
    <row r="4587">
      <c r="A4587" s="5"/>
    </row>
    <row r="4588">
      <c r="A4588" s="5"/>
      <c r="M4588" s="48"/>
    </row>
    <row r="4589">
      <c r="A4589" s="5"/>
      <c r="M4589" s="48"/>
    </row>
    <row r="4590">
      <c r="A4590" s="5"/>
      <c r="M4590" s="48"/>
    </row>
    <row r="4591">
      <c r="A4591" s="5"/>
    </row>
    <row r="4592">
      <c r="A4592" s="5"/>
    </row>
    <row r="4593">
      <c r="A4593" s="5"/>
    </row>
    <row r="4594">
      <c r="A4594" s="5"/>
    </row>
    <row r="4595">
      <c r="A4595" s="5"/>
      <c r="M4595" s="48"/>
    </row>
    <row r="4596">
      <c r="A4596" s="5"/>
      <c r="M4596" s="48"/>
    </row>
    <row r="4597">
      <c r="A4597" s="5"/>
    </row>
    <row r="4598">
      <c r="A4598" s="5"/>
    </row>
    <row r="4599">
      <c r="A4599" s="5"/>
      <c r="M4599" s="48"/>
    </row>
    <row r="4600">
      <c r="A4600" s="5"/>
    </row>
    <row r="4601">
      <c r="A4601" s="5"/>
    </row>
    <row r="4602">
      <c r="A4602" s="5"/>
    </row>
    <row r="4603">
      <c r="A4603" s="5"/>
    </row>
    <row r="4604">
      <c r="A4604" s="5"/>
    </row>
    <row r="4605">
      <c r="A4605" s="5"/>
    </row>
    <row r="4606">
      <c r="A4606" s="5"/>
    </row>
    <row r="4607">
      <c r="A4607" s="5"/>
    </row>
    <row r="4608">
      <c r="A4608" s="5"/>
    </row>
    <row r="4609">
      <c r="A4609" s="5"/>
    </row>
    <row r="4610">
      <c r="A4610" s="5"/>
    </row>
    <row r="4611">
      <c r="A4611" s="5"/>
    </row>
    <row r="4612">
      <c r="A4612" s="5"/>
    </row>
    <row r="4613">
      <c r="A4613" s="5"/>
    </row>
    <row r="4614">
      <c r="A4614" s="5"/>
    </row>
    <row r="4615">
      <c r="A4615" s="5"/>
    </row>
    <row r="4616">
      <c r="A4616" s="5"/>
    </row>
    <row r="4617">
      <c r="A4617" s="5"/>
    </row>
    <row r="4618">
      <c r="A4618" s="5"/>
    </row>
    <row r="4619">
      <c r="A4619" s="5"/>
    </row>
    <row r="4620">
      <c r="A4620" s="5"/>
    </row>
    <row r="4621">
      <c r="A4621" s="5"/>
    </row>
    <row r="4622">
      <c r="A4622" s="5"/>
    </row>
    <row r="4623">
      <c r="A4623" s="5"/>
    </row>
    <row r="4624">
      <c r="A4624" s="5"/>
    </row>
    <row r="4625">
      <c r="A4625" s="5"/>
    </row>
    <row r="4626">
      <c r="A4626" s="5"/>
    </row>
    <row r="4627">
      <c r="A4627" s="5"/>
    </row>
    <row r="4628">
      <c r="A4628" s="5"/>
    </row>
    <row r="4629">
      <c r="A4629" s="5"/>
    </row>
    <row r="4630">
      <c r="A4630" s="5"/>
    </row>
    <row r="4631">
      <c r="A4631" s="5"/>
    </row>
    <row r="4632">
      <c r="A4632" s="5"/>
    </row>
    <row r="4633">
      <c r="A4633" s="5"/>
    </row>
    <row r="4634">
      <c r="A4634" s="5"/>
    </row>
    <row r="4635">
      <c r="A4635" s="5"/>
    </row>
    <row r="4636">
      <c r="A4636" s="5"/>
    </row>
    <row r="4637">
      <c r="A4637" s="5"/>
    </row>
    <row r="4638">
      <c r="A4638" s="5"/>
    </row>
    <row r="4639">
      <c r="A4639" s="5"/>
    </row>
    <row r="4640">
      <c r="A4640" s="5"/>
    </row>
    <row r="4641">
      <c r="A4641" s="5"/>
      <c r="M4641" s="48"/>
    </row>
    <row r="4642">
      <c r="A4642" s="5"/>
    </row>
    <row r="4643">
      <c r="A4643" s="5"/>
      <c r="M4643" s="48"/>
    </row>
    <row r="4644">
      <c r="A4644" s="5"/>
    </row>
    <row r="4645">
      <c r="A4645" s="5"/>
      <c r="M4645" s="48"/>
    </row>
    <row r="4646">
      <c r="A4646" s="5"/>
    </row>
    <row r="4647">
      <c r="A4647" s="5"/>
    </row>
    <row r="4648">
      <c r="A4648" s="5"/>
      <c r="M4648" s="48"/>
    </row>
    <row r="4649">
      <c r="A4649" s="5"/>
    </row>
    <row r="4650">
      <c r="A4650" s="5"/>
    </row>
    <row r="4651">
      <c r="A4651" s="5"/>
      <c r="M4651" s="48"/>
    </row>
    <row r="4652">
      <c r="A4652" s="5"/>
    </row>
    <row r="4653">
      <c r="A4653" s="5"/>
      <c r="M4653" s="48"/>
    </row>
    <row r="4654">
      <c r="A4654" s="5"/>
      <c r="M4654" s="48"/>
    </row>
    <row r="4655">
      <c r="A4655" s="5"/>
      <c r="M4655" s="48"/>
    </row>
    <row r="4656">
      <c r="A4656" s="5"/>
    </row>
    <row r="4657">
      <c r="A4657" s="5"/>
      <c r="M4657" s="48"/>
    </row>
    <row r="4658">
      <c r="A4658" s="5"/>
      <c r="M4658" s="48"/>
    </row>
    <row r="4659">
      <c r="A4659" s="5"/>
      <c r="M4659" s="48"/>
    </row>
    <row r="4660">
      <c r="A4660" s="5"/>
    </row>
    <row r="4661">
      <c r="A4661" s="5"/>
    </row>
    <row r="4662">
      <c r="A4662" s="5"/>
      <c r="M4662" s="48"/>
    </row>
    <row r="4663">
      <c r="A4663" s="5"/>
      <c r="M4663" s="48"/>
    </row>
    <row r="4664">
      <c r="A4664" s="5"/>
    </row>
    <row r="4665">
      <c r="A4665" s="5"/>
      <c r="M4665" s="48"/>
    </row>
    <row r="4666">
      <c r="A4666" s="5"/>
      <c r="M4666" s="48"/>
    </row>
    <row r="4667">
      <c r="A4667" s="5"/>
      <c r="M4667" s="48"/>
    </row>
    <row r="4668">
      <c r="A4668" s="5"/>
      <c r="M4668" s="48"/>
    </row>
    <row r="4669">
      <c r="A4669" s="5"/>
    </row>
    <row r="4670">
      <c r="A4670" s="5"/>
    </row>
    <row r="4671">
      <c r="A4671" s="5"/>
      <c r="M4671" s="48"/>
    </row>
    <row r="4672">
      <c r="A4672" s="5"/>
      <c r="M4672" s="48"/>
    </row>
    <row r="4673">
      <c r="A4673" s="5"/>
    </row>
    <row r="4674">
      <c r="A4674" s="5"/>
      <c r="M4674" s="48"/>
    </row>
    <row r="4675">
      <c r="A4675" s="5"/>
    </row>
    <row r="4676">
      <c r="A4676" s="5"/>
      <c r="M4676" s="48"/>
    </row>
    <row r="4677">
      <c r="A4677" s="5"/>
    </row>
    <row r="4678">
      <c r="A4678" s="5"/>
    </row>
    <row r="4679">
      <c r="A4679" s="5"/>
    </row>
    <row r="4680">
      <c r="A4680" s="5"/>
    </row>
    <row r="4681">
      <c r="A4681" s="5"/>
      <c r="M4681" s="48"/>
    </row>
    <row r="4682">
      <c r="A4682" s="5"/>
    </row>
    <row r="4683">
      <c r="A4683" s="5"/>
      <c r="M4683" s="48"/>
    </row>
    <row r="4684">
      <c r="A4684" s="5"/>
    </row>
    <row r="4685">
      <c r="A4685" s="5"/>
      <c r="M4685" s="48"/>
    </row>
    <row r="4686">
      <c r="A4686" s="5"/>
      <c r="M4686" s="48"/>
    </row>
    <row r="4687">
      <c r="A4687" s="5"/>
    </row>
    <row r="4688">
      <c r="A4688" s="5"/>
      <c r="M4688" s="48"/>
    </row>
    <row r="4689">
      <c r="A4689" s="5"/>
      <c r="M4689" s="48"/>
    </row>
    <row r="4690">
      <c r="A4690" s="5"/>
      <c r="M4690" s="48"/>
    </row>
    <row r="4691">
      <c r="A4691" s="5"/>
      <c r="M4691" s="48"/>
    </row>
    <row r="4692">
      <c r="A4692" s="5"/>
      <c r="M4692" s="48"/>
    </row>
    <row r="4693">
      <c r="A4693" s="5"/>
      <c r="M4693" s="48"/>
    </row>
    <row r="4694">
      <c r="A4694" s="5"/>
    </row>
    <row r="4695">
      <c r="A4695" s="5"/>
    </row>
    <row r="4696">
      <c r="A4696" s="5"/>
    </row>
    <row r="4697">
      <c r="A4697" s="5"/>
    </row>
    <row r="4698">
      <c r="A4698" s="5"/>
    </row>
    <row r="4699">
      <c r="A4699" s="5"/>
    </row>
    <row r="4700">
      <c r="A4700" s="5"/>
    </row>
    <row r="4701">
      <c r="A4701" s="5"/>
    </row>
    <row r="4702">
      <c r="A4702" s="5"/>
    </row>
    <row r="4703">
      <c r="A4703" s="5"/>
    </row>
    <row r="4704">
      <c r="A4704" s="5"/>
    </row>
    <row r="4705">
      <c r="A4705" s="5"/>
    </row>
    <row r="4706">
      <c r="A4706" s="5"/>
    </row>
    <row r="4707">
      <c r="A4707" s="5"/>
    </row>
    <row r="4708">
      <c r="A4708" s="5"/>
    </row>
    <row r="4709">
      <c r="A4709" s="5"/>
    </row>
    <row r="4710">
      <c r="A4710" s="5"/>
    </row>
    <row r="4711">
      <c r="A4711" s="5"/>
    </row>
    <row r="4712">
      <c r="A4712" s="5"/>
    </row>
    <row r="4713">
      <c r="A4713" s="5"/>
    </row>
    <row r="4714">
      <c r="A4714" s="5"/>
    </row>
    <row r="4715">
      <c r="A4715" s="5"/>
    </row>
    <row r="4716">
      <c r="A4716" s="5"/>
    </row>
    <row r="4717">
      <c r="A4717" s="5"/>
    </row>
    <row r="4718">
      <c r="A4718" s="5"/>
    </row>
    <row r="4719">
      <c r="A4719" s="5"/>
    </row>
    <row r="4720">
      <c r="A4720" s="5"/>
    </row>
    <row r="4721">
      <c r="A4721" s="5"/>
    </row>
    <row r="4722">
      <c r="A4722" s="5"/>
    </row>
    <row r="4723">
      <c r="A4723" s="5"/>
    </row>
    <row r="4724">
      <c r="A4724" s="5"/>
    </row>
    <row r="4725">
      <c r="A4725" s="5"/>
    </row>
    <row r="4726">
      <c r="A4726" s="5"/>
    </row>
    <row r="4727">
      <c r="A4727" s="5"/>
    </row>
    <row r="4728">
      <c r="A4728" s="5"/>
    </row>
    <row r="4729">
      <c r="A4729" s="5"/>
    </row>
    <row r="4730">
      <c r="A4730" s="5"/>
    </row>
    <row r="4731">
      <c r="A4731" s="5"/>
    </row>
    <row r="4732">
      <c r="A4732" s="5"/>
    </row>
    <row r="4733">
      <c r="A4733" s="5"/>
    </row>
    <row r="4734">
      <c r="A4734" s="5"/>
    </row>
    <row r="4735">
      <c r="A4735" s="5"/>
    </row>
    <row r="4736">
      <c r="A4736" s="5"/>
    </row>
    <row r="4737">
      <c r="A4737" s="5"/>
    </row>
    <row r="4738">
      <c r="A4738" s="5"/>
    </row>
    <row r="4739">
      <c r="A4739" s="5"/>
    </row>
    <row r="4740">
      <c r="A4740" s="5"/>
    </row>
    <row r="4741">
      <c r="A4741" s="5"/>
    </row>
    <row r="4742">
      <c r="A4742" s="5"/>
    </row>
    <row r="4743">
      <c r="A4743" s="5"/>
    </row>
    <row r="4744">
      <c r="A4744" s="5"/>
    </row>
    <row r="4745">
      <c r="A4745" s="5"/>
    </row>
    <row r="4746">
      <c r="A4746" s="5"/>
    </row>
    <row r="4747">
      <c r="A4747" s="5"/>
    </row>
    <row r="4748">
      <c r="A4748" s="5"/>
    </row>
    <row r="4749">
      <c r="A4749" s="5"/>
    </row>
    <row r="4750">
      <c r="A4750" s="5"/>
    </row>
    <row r="4751">
      <c r="A4751" s="5"/>
    </row>
    <row r="4752">
      <c r="A4752" s="5"/>
    </row>
    <row r="4753">
      <c r="A4753" s="5"/>
    </row>
    <row r="4754">
      <c r="A4754" s="5"/>
    </row>
    <row r="4755">
      <c r="A4755" s="5"/>
    </row>
    <row r="4756">
      <c r="A4756" s="5"/>
    </row>
    <row r="4757">
      <c r="A4757" s="5"/>
    </row>
    <row r="4758">
      <c r="A4758" s="5"/>
    </row>
    <row r="4759">
      <c r="A4759" s="5"/>
    </row>
    <row r="4760">
      <c r="A4760" s="5"/>
    </row>
    <row r="4761">
      <c r="A4761" s="5"/>
    </row>
    <row r="4762">
      <c r="A4762" s="5"/>
    </row>
    <row r="4763">
      <c r="A4763" s="5"/>
    </row>
    <row r="4764">
      <c r="A4764" s="5"/>
    </row>
    <row r="4765">
      <c r="A4765" s="5"/>
      <c r="M4765" s="48"/>
    </row>
    <row r="4766">
      <c r="A4766" s="5"/>
      <c r="M4766" s="48"/>
    </row>
    <row r="4767">
      <c r="A4767" s="5"/>
      <c r="M4767" s="48"/>
    </row>
    <row r="4768">
      <c r="A4768" s="5"/>
    </row>
    <row r="4769">
      <c r="A4769" s="5"/>
      <c r="M4769" s="48"/>
    </row>
    <row r="4770">
      <c r="A4770" s="5"/>
    </row>
    <row r="4771">
      <c r="A4771" s="5"/>
    </row>
    <row r="4772">
      <c r="A4772" s="5"/>
      <c r="M4772" s="48"/>
    </row>
    <row r="4773">
      <c r="A4773" s="5"/>
      <c r="M4773" s="48"/>
    </row>
    <row r="4774">
      <c r="A4774" s="5"/>
      <c r="M4774" s="48"/>
    </row>
    <row r="4775">
      <c r="A4775" s="5"/>
      <c r="M4775" s="48"/>
    </row>
    <row r="4776">
      <c r="A4776" s="5"/>
      <c r="M4776" s="48"/>
    </row>
    <row r="4777">
      <c r="A4777" s="5"/>
      <c r="M4777" s="48"/>
    </row>
    <row r="4778">
      <c r="A4778" s="5"/>
      <c r="M4778" s="48"/>
    </row>
    <row r="4779">
      <c r="A4779" s="5"/>
      <c r="M4779" s="48"/>
    </row>
    <row r="4780">
      <c r="A4780" s="5"/>
      <c r="M4780" s="48"/>
    </row>
    <row r="4781">
      <c r="A4781" s="5"/>
      <c r="M4781" s="48"/>
    </row>
    <row r="4782">
      <c r="A4782" s="5"/>
      <c r="M4782" s="48"/>
    </row>
    <row r="4783">
      <c r="A4783" s="5"/>
      <c r="M4783" s="48"/>
    </row>
    <row r="4784">
      <c r="A4784" s="5"/>
      <c r="M4784" s="48"/>
    </row>
    <row r="4785">
      <c r="A4785" s="5"/>
      <c r="M4785" s="48"/>
    </row>
    <row r="4786">
      <c r="A4786" s="5"/>
    </row>
    <row r="4787">
      <c r="A4787" s="5"/>
    </row>
    <row r="4788">
      <c r="A4788" s="5"/>
      <c r="M4788" s="48"/>
    </row>
    <row r="4789">
      <c r="A4789" s="5"/>
      <c r="M4789" s="48"/>
    </row>
    <row r="4790">
      <c r="A4790" s="5"/>
      <c r="M4790" s="48"/>
    </row>
    <row r="4791">
      <c r="A4791" s="5"/>
    </row>
    <row r="4792">
      <c r="A4792" s="5"/>
      <c r="M4792" s="48"/>
    </row>
    <row r="4793">
      <c r="A4793" s="5"/>
    </row>
    <row r="4794">
      <c r="A4794" s="5"/>
    </row>
    <row r="4795">
      <c r="A4795" s="5"/>
    </row>
    <row r="4796">
      <c r="A4796" s="5"/>
    </row>
    <row r="4797">
      <c r="A4797" s="5"/>
    </row>
    <row r="4798">
      <c r="A4798" s="5"/>
    </row>
    <row r="4799">
      <c r="A4799" s="5"/>
    </row>
    <row r="4800">
      <c r="A4800" s="5"/>
    </row>
    <row r="4801">
      <c r="A4801" s="5"/>
    </row>
    <row r="4802">
      <c r="A4802" s="5"/>
    </row>
    <row r="4803">
      <c r="A4803" s="5"/>
    </row>
    <row r="4804">
      <c r="A4804" s="5"/>
    </row>
    <row r="4805">
      <c r="A4805" s="5"/>
    </row>
    <row r="4806">
      <c r="A4806" s="5"/>
    </row>
    <row r="4807">
      <c r="A4807" s="5"/>
    </row>
    <row r="4808">
      <c r="A4808" s="5"/>
    </row>
    <row r="4809">
      <c r="A4809" s="5"/>
    </row>
    <row r="4810">
      <c r="A4810" s="5"/>
    </row>
    <row r="4811">
      <c r="A4811" s="5"/>
    </row>
    <row r="4812">
      <c r="A4812" s="5"/>
    </row>
    <row r="4813">
      <c r="A4813" s="5"/>
    </row>
    <row r="4814">
      <c r="A4814" s="5"/>
    </row>
    <row r="4815">
      <c r="A4815" s="5"/>
    </row>
    <row r="4816">
      <c r="A4816" s="5"/>
    </row>
    <row r="4817">
      <c r="A4817" s="5"/>
    </row>
    <row r="4818">
      <c r="A4818" s="5"/>
    </row>
    <row r="4819">
      <c r="A4819" s="5"/>
    </row>
    <row r="4820">
      <c r="A4820" s="5"/>
    </row>
    <row r="4821">
      <c r="A4821" s="5"/>
    </row>
    <row r="4822">
      <c r="A4822" s="5"/>
      <c r="M4822" s="48"/>
    </row>
    <row r="4823">
      <c r="A4823" s="5"/>
    </row>
    <row r="4824">
      <c r="A4824" s="5"/>
    </row>
    <row r="4825">
      <c r="A4825" s="5"/>
      <c r="M4825" s="48"/>
    </row>
    <row r="4826">
      <c r="A4826" s="5"/>
      <c r="M4826" s="48"/>
    </row>
    <row r="4827">
      <c r="A4827" s="5"/>
    </row>
    <row r="4828">
      <c r="A4828" s="5"/>
    </row>
    <row r="4829">
      <c r="A4829" s="5"/>
    </row>
    <row r="4830">
      <c r="A4830" s="5"/>
    </row>
    <row r="4831">
      <c r="A4831" s="5"/>
      <c r="M4831" s="48"/>
    </row>
    <row r="4832">
      <c r="A4832" s="5"/>
    </row>
    <row r="4833">
      <c r="A4833" s="5"/>
    </row>
    <row r="4834">
      <c r="A4834" s="5"/>
    </row>
    <row r="4835">
      <c r="A4835" s="5"/>
    </row>
    <row r="4836">
      <c r="A4836" s="5"/>
    </row>
    <row r="4837">
      <c r="A4837" s="5"/>
    </row>
    <row r="4838">
      <c r="A4838" s="5"/>
    </row>
    <row r="4839">
      <c r="A4839" s="5"/>
    </row>
    <row r="4840">
      <c r="A4840" s="5"/>
    </row>
    <row r="4841">
      <c r="A4841" s="5"/>
    </row>
    <row r="4842">
      <c r="A4842" s="5"/>
    </row>
    <row r="4843">
      <c r="A4843" s="5"/>
    </row>
    <row r="4844">
      <c r="A4844" s="5"/>
    </row>
    <row r="4845">
      <c r="A4845" s="5"/>
    </row>
    <row r="4846">
      <c r="A4846" s="5"/>
    </row>
    <row r="4847">
      <c r="A4847" s="5"/>
    </row>
    <row r="4848">
      <c r="A4848" s="5"/>
    </row>
    <row r="4849">
      <c r="A4849" s="5"/>
    </row>
    <row r="4850">
      <c r="A4850" s="5"/>
    </row>
    <row r="4851">
      <c r="A4851" s="5"/>
    </row>
    <row r="4852">
      <c r="A4852" s="5"/>
    </row>
    <row r="4853">
      <c r="A4853" s="5"/>
    </row>
    <row r="4854">
      <c r="A4854" s="5"/>
    </row>
    <row r="4855">
      <c r="A4855" s="5"/>
    </row>
    <row r="4856">
      <c r="A4856" s="5"/>
    </row>
    <row r="4857">
      <c r="A4857" s="5"/>
    </row>
    <row r="4858">
      <c r="A4858" s="5"/>
    </row>
    <row r="4859">
      <c r="A4859" s="5"/>
    </row>
    <row r="4860">
      <c r="A4860" s="5"/>
    </row>
    <row r="4861">
      <c r="A4861" s="5"/>
    </row>
    <row r="4862">
      <c r="A4862" s="5"/>
    </row>
    <row r="4863">
      <c r="A4863" s="5"/>
    </row>
    <row r="4864">
      <c r="A4864" s="5"/>
    </row>
    <row r="4865">
      <c r="A4865" s="5"/>
    </row>
    <row r="4866">
      <c r="A4866" s="5"/>
    </row>
    <row r="4867">
      <c r="A4867" s="5"/>
    </row>
    <row r="4868">
      <c r="A4868" s="5"/>
    </row>
    <row r="4869">
      <c r="A4869" s="5"/>
    </row>
    <row r="4870">
      <c r="A4870" s="5"/>
    </row>
    <row r="4871">
      <c r="A4871" s="5"/>
    </row>
    <row r="4872">
      <c r="A4872" s="5"/>
    </row>
    <row r="4873">
      <c r="A4873" s="5"/>
    </row>
    <row r="4874">
      <c r="A4874" s="5"/>
    </row>
    <row r="4875">
      <c r="A4875" s="5"/>
    </row>
    <row r="4876">
      <c r="A4876" s="5"/>
    </row>
    <row r="4877">
      <c r="A4877" s="5"/>
    </row>
    <row r="4878">
      <c r="A4878" s="5"/>
    </row>
    <row r="4879">
      <c r="A4879" s="5"/>
    </row>
    <row r="4880">
      <c r="A4880" s="5"/>
    </row>
    <row r="4881">
      <c r="A4881" s="5"/>
    </row>
    <row r="4882">
      <c r="A4882" s="5"/>
    </row>
    <row r="4883">
      <c r="A4883" s="5"/>
    </row>
    <row r="4884">
      <c r="A4884" s="5"/>
    </row>
    <row r="4885">
      <c r="A4885" s="5"/>
    </row>
    <row r="4886">
      <c r="A4886" s="5"/>
    </row>
    <row r="4887">
      <c r="A4887" s="5"/>
    </row>
    <row r="4888">
      <c r="A4888" s="5"/>
    </row>
    <row r="4889">
      <c r="A4889" s="5"/>
    </row>
    <row r="4890">
      <c r="A4890" s="5"/>
    </row>
    <row r="4891">
      <c r="A4891" s="5"/>
    </row>
    <row r="4892">
      <c r="A4892" s="5"/>
    </row>
    <row r="4893">
      <c r="A4893" s="5"/>
    </row>
    <row r="4894">
      <c r="A4894" s="5"/>
    </row>
    <row r="4895">
      <c r="A4895" s="5"/>
    </row>
    <row r="4896">
      <c r="A4896" s="5"/>
    </row>
    <row r="4897">
      <c r="A4897" s="5"/>
    </row>
    <row r="4898">
      <c r="A4898" s="5"/>
    </row>
    <row r="4899">
      <c r="A4899" s="5"/>
    </row>
    <row r="4900">
      <c r="A4900" s="5"/>
    </row>
    <row r="4901">
      <c r="A4901" s="5"/>
    </row>
    <row r="4902">
      <c r="A4902" s="5"/>
    </row>
    <row r="4903">
      <c r="A4903" s="5"/>
    </row>
    <row r="4904">
      <c r="A4904" s="5"/>
    </row>
    <row r="4905">
      <c r="A4905" s="5"/>
    </row>
    <row r="4906">
      <c r="A4906" s="5"/>
    </row>
    <row r="4907">
      <c r="A4907" s="5"/>
    </row>
    <row r="4908">
      <c r="A4908" s="5"/>
    </row>
    <row r="4909">
      <c r="A4909" s="5"/>
    </row>
    <row r="4910">
      <c r="A4910" s="5"/>
    </row>
    <row r="4911">
      <c r="A4911" s="5"/>
    </row>
    <row r="4912">
      <c r="A4912" s="5"/>
    </row>
    <row r="4913">
      <c r="A4913" s="5"/>
    </row>
    <row r="4914">
      <c r="A4914" s="5"/>
    </row>
    <row r="4915">
      <c r="A4915" s="5"/>
    </row>
    <row r="4916">
      <c r="A4916" s="5"/>
    </row>
    <row r="4917">
      <c r="A4917" s="5"/>
    </row>
    <row r="4918">
      <c r="A4918" s="5"/>
    </row>
    <row r="4919">
      <c r="A4919" s="5"/>
    </row>
    <row r="4920">
      <c r="A4920" s="5"/>
    </row>
    <row r="4921">
      <c r="A4921" s="5"/>
    </row>
    <row r="4922">
      <c r="A4922" s="5"/>
      <c r="M4922" s="48"/>
    </row>
    <row r="4923">
      <c r="A4923" s="5"/>
    </row>
    <row r="4924">
      <c r="A4924" s="5"/>
    </row>
    <row r="4925">
      <c r="A4925" s="5"/>
      <c r="M4925" s="48"/>
    </row>
    <row r="4926">
      <c r="A4926" s="5"/>
    </row>
    <row r="4927">
      <c r="A4927" s="5"/>
    </row>
    <row r="4928">
      <c r="A4928" s="5"/>
      <c r="M4928" s="48"/>
    </row>
    <row r="4929">
      <c r="A4929" s="5"/>
    </row>
    <row r="4930">
      <c r="A4930" s="5"/>
    </row>
    <row r="4931">
      <c r="A4931" s="5"/>
    </row>
    <row r="4932">
      <c r="A4932" s="5"/>
      <c r="M4932" s="48"/>
    </row>
    <row r="4933">
      <c r="A4933" s="5"/>
      <c r="M4933" s="48"/>
    </row>
    <row r="4934">
      <c r="A4934" s="5"/>
    </row>
    <row r="4935">
      <c r="A4935" s="5"/>
    </row>
    <row r="4936">
      <c r="A4936" s="5"/>
    </row>
    <row r="4937">
      <c r="A4937" s="5"/>
      <c r="M4937" s="48"/>
    </row>
    <row r="4938">
      <c r="A4938" s="5"/>
    </row>
    <row r="4939">
      <c r="A4939" s="5"/>
    </row>
    <row r="4940">
      <c r="A4940" s="5"/>
    </row>
    <row r="4941">
      <c r="A4941" s="5"/>
    </row>
    <row r="4942">
      <c r="A4942" s="5"/>
    </row>
    <row r="4943">
      <c r="A4943" s="5"/>
      <c r="M4943" s="48"/>
    </row>
    <row r="4944">
      <c r="A4944" s="5"/>
    </row>
    <row r="4945">
      <c r="A4945" s="5"/>
    </row>
    <row r="4946">
      <c r="A4946" s="5"/>
    </row>
    <row r="4947">
      <c r="A4947" s="5"/>
      <c r="M4947" s="48"/>
    </row>
    <row r="4948">
      <c r="A4948" s="5"/>
      <c r="M4948" s="48"/>
    </row>
    <row r="4949">
      <c r="A4949" s="5"/>
      <c r="M4949" s="48"/>
    </row>
    <row r="4950">
      <c r="A4950" s="5"/>
    </row>
    <row r="4951">
      <c r="A4951" s="5"/>
      <c r="M4951" s="48"/>
    </row>
    <row r="4952">
      <c r="A4952" s="5"/>
    </row>
    <row r="4953">
      <c r="A4953" s="5"/>
    </row>
    <row r="4954">
      <c r="A4954" s="5"/>
      <c r="M4954" s="48"/>
    </row>
    <row r="4955">
      <c r="A4955" s="5"/>
    </row>
    <row r="4956">
      <c r="A4956" s="5"/>
      <c r="M4956" s="48"/>
    </row>
    <row r="4957">
      <c r="A4957" s="5"/>
      <c r="M4957" s="48"/>
    </row>
    <row r="4958">
      <c r="A4958" s="5"/>
      <c r="M4958" s="48"/>
    </row>
    <row r="4959">
      <c r="A4959" s="5"/>
    </row>
    <row r="4960">
      <c r="A4960" s="5"/>
      <c r="M4960" s="48"/>
    </row>
    <row r="4961">
      <c r="A4961" s="5"/>
    </row>
    <row r="4962">
      <c r="A4962" s="5"/>
    </row>
    <row r="4963">
      <c r="A4963" s="5"/>
    </row>
    <row r="4964">
      <c r="A4964" s="5"/>
    </row>
    <row r="4965">
      <c r="A4965" s="5"/>
    </row>
    <row r="4966">
      <c r="A4966" s="5"/>
    </row>
    <row r="4967">
      <c r="A4967" s="5"/>
    </row>
    <row r="4968">
      <c r="A4968" s="5"/>
    </row>
    <row r="4969">
      <c r="A4969" s="5"/>
    </row>
    <row r="4970">
      <c r="A4970" s="5"/>
    </row>
    <row r="4971">
      <c r="A4971" s="5"/>
    </row>
    <row r="4972">
      <c r="A4972" s="5"/>
    </row>
    <row r="4973">
      <c r="A4973" s="5"/>
    </row>
    <row r="4974">
      <c r="A4974" s="5"/>
    </row>
    <row r="4975">
      <c r="A4975" s="5"/>
    </row>
    <row r="4976">
      <c r="A4976" s="5"/>
    </row>
    <row r="4977">
      <c r="A4977" s="5"/>
    </row>
    <row r="4978">
      <c r="A4978" s="5"/>
    </row>
    <row r="4979">
      <c r="A4979" s="5"/>
    </row>
    <row r="4980">
      <c r="A4980" s="5"/>
    </row>
    <row r="4981">
      <c r="A4981" s="5"/>
    </row>
    <row r="4982">
      <c r="A4982" s="5"/>
    </row>
    <row r="4983">
      <c r="A4983" s="5"/>
    </row>
    <row r="4984">
      <c r="A4984" s="5"/>
    </row>
    <row r="4985">
      <c r="A4985" s="5"/>
    </row>
    <row r="4986">
      <c r="A4986" s="5"/>
    </row>
    <row r="4987">
      <c r="A4987" s="5"/>
    </row>
    <row r="4988">
      <c r="A4988" s="5"/>
    </row>
    <row r="4989">
      <c r="A4989" s="5"/>
    </row>
    <row r="4990">
      <c r="A4990" s="5"/>
    </row>
    <row r="4991">
      <c r="A4991" s="5"/>
    </row>
    <row r="4992">
      <c r="A4992" s="5"/>
    </row>
    <row r="4993">
      <c r="A4993" s="5"/>
    </row>
    <row r="4994">
      <c r="A4994" s="5"/>
    </row>
    <row r="4995">
      <c r="A4995" s="5"/>
    </row>
    <row r="4996">
      <c r="A4996" s="5"/>
    </row>
    <row r="4997">
      <c r="A4997" s="5"/>
    </row>
    <row r="4998">
      <c r="A4998" s="5"/>
    </row>
    <row r="4999">
      <c r="A4999" s="5"/>
    </row>
    <row r="5000">
      <c r="A5000" s="5"/>
    </row>
    <row r="5001">
      <c r="A5001" s="5"/>
    </row>
    <row r="5002">
      <c r="A5002" s="5"/>
    </row>
    <row r="5003">
      <c r="A5003" s="5"/>
    </row>
    <row r="5004">
      <c r="A5004" s="5"/>
    </row>
    <row r="5005">
      <c r="A5005" s="5"/>
    </row>
    <row r="5006">
      <c r="A5006" s="5"/>
    </row>
    <row r="5007">
      <c r="A5007" s="5"/>
    </row>
    <row r="5008">
      <c r="A5008" s="5"/>
    </row>
    <row r="5009">
      <c r="A5009" s="5"/>
    </row>
    <row r="5010">
      <c r="A5010" s="5"/>
    </row>
    <row r="5011">
      <c r="A5011" s="5"/>
    </row>
    <row r="5012">
      <c r="A5012" s="5"/>
    </row>
    <row r="5013">
      <c r="A5013" s="5"/>
    </row>
    <row r="5014">
      <c r="A5014" s="5"/>
    </row>
    <row r="5015">
      <c r="A5015" s="5"/>
    </row>
    <row r="5016">
      <c r="A5016" s="5"/>
    </row>
    <row r="5017">
      <c r="A5017" s="5"/>
    </row>
    <row r="5018">
      <c r="A5018" s="5"/>
    </row>
    <row r="5019">
      <c r="A5019" s="5"/>
    </row>
    <row r="5020">
      <c r="A5020" s="5"/>
    </row>
    <row r="5021">
      <c r="A5021" s="5"/>
    </row>
    <row r="5022">
      <c r="A5022" s="5"/>
    </row>
    <row r="5023">
      <c r="A5023" s="5"/>
    </row>
    <row r="5024">
      <c r="A5024" s="5"/>
    </row>
    <row r="5025">
      <c r="A5025" s="5"/>
    </row>
    <row r="5026">
      <c r="A5026" s="5"/>
    </row>
    <row r="5027">
      <c r="A5027" s="5"/>
    </row>
    <row r="5028">
      <c r="A5028" s="5"/>
    </row>
    <row r="5029">
      <c r="A5029" s="5"/>
    </row>
    <row r="5030">
      <c r="A5030" s="5"/>
    </row>
    <row r="5031">
      <c r="A5031" s="5"/>
    </row>
    <row r="5032">
      <c r="A5032" s="5"/>
    </row>
    <row r="5033">
      <c r="A5033" s="5"/>
    </row>
    <row r="5034">
      <c r="A5034" s="5"/>
    </row>
    <row r="5035">
      <c r="A5035" s="5"/>
    </row>
    <row r="5036">
      <c r="A5036" s="5"/>
    </row>
    <row r="5037">
      <c r="A5037" s="5"/>
    </row>
    <row r="5038">
      <c r="A5038" s="5"/>
    </row>
    <row r="5039">
      <c r="A5039" s="5"/>
    </row>
    <row r="5040">
      <c r="A5040" s="5"/>
    </row>
    <row r="5041">
      <c r="A5041" s="5"/>
    </row>
    <row r="5042">
      <c r="A5042" s="5"/>
    </row>
    <row r="5043">
      <c r="A5043" s="5"/>
    </row>
    <row r="5044">
      <c r="A5044" s="5"/>
    </row>
    <row r="5045">
      <c r="A5045" s="5"/>
    </row>
    <row r="5046">
      <c r="A5046" s="5"/>
    </row>
    <row r="5047">
      <c r="A5047" s="5"/>
    </row>
    <row r="5048">
      <c r="A5048" s="5"/>
    </row>
    <row r="5049">
      <c r="A5049" s="5"/>
    </row>
    <row r="5050">
      <c r="A5050" s="5"/>
    </row>
    <row r="5051">
      <c r="A5051" s="5"/>
    </row>
    <row r="5052">
      <c r="A5052" s="5"/>
    </row>
    <row r="5053">
      <c r="A5053" s="5"/>
    </row>
    <row r="5054">
      <c r="A5054" s="5"/>
    </row>
    <row r="5055">
      <c r="A5055" s="5"/>
    </row>
    <row r="5056">
      <c r="A5056" s="5"/>
    </row>
    <row r="5057">
      <c r="A5057" s="5"/>
    </row>
    <row r="5058">
      <c r="A5058" s="5"/>
    </row>
    <row r="5059">
      <c r="A5059" s="5"/>
    </row>
    <row r="5060">
      <c r="A5060" s="5"/>
    </row>
    <row r="5061">
      <c r="A5061" s="5"/>
    </row>
    <row r="5062">
      <c r="A5062" s="5"/>
    </row>
    <row r="5063">
      <c r="A5063" s="5"/>
    </row>
    <row r="5064">
      <c r="A5064" s="5"/>
    </row>
    <row r="5065">
      <c r="A5065" s="5"/>
    </row>
    <row r="5066">
      <c r="A5066" s="5"/>
    </row>
    <row r="5067">
      <c r="A5067" s="5"/>
    </row>
    <row r="5068">
      <c r="A5068" s="5"/>
    </row>
    <row r="5069">
      <c r="A5069" s="5"/>
    </row>
    <row r="5070">
      <c r="A5070" s="5"/>
    </row>
    <row r="5071">
      <c r="A5071" s="5"/>
    </row>
    <row r="5072">
      <c r="A5072" s="5"/>
    </row>
    <row r="5073">
      <c r="A5073" s="5"/>
    </row>
    <row r="5074">
      <c r="A5074" s="5"/>
    </row>
    <row r="5075">
      <c r="A5075" s="5"/>
    </row>
    <row r="5076">
      <c r="A5076" s="5"/>
    </row>
    <row r="5077">
      <c r="A5077" s="5"/>
    </row>
    <row r="5078">
      <c r="A5078" s="5"/>
    </row>
    <row r="5079">
      <c r="A5079" s="5"/>
    </row>
    <row r="5080">
      <c r="A5080" s="5"/>
    </row>
    <row r="5081">
      <c r="A5081" s="5"/>
    </row>
    <row r="5082">
      <c r="A5082" s="5"/>
    </row>
    <row r="5083">
      <c r="A5083" s="5"/>
    </row>
    <row r="5084">
      <c r="A5084" s="5"/>
    </row>
    <row r="5085">
      <c r="A5085" s="5"/>
    </row>
    <row r="5086">
      <c r="A5086" s="5"/>
    </row>
    <row r="5087">
      <c r="A5087" s="5"/>
    </row>
    <row r="5088">
      <c r="A5088" s="5"/>
    </row>
    <row r="5089">
      <c r="A5089" s="5"/>
    </row>
    <row r="5090">
      <c r="A5090" s="5"/>
    </row>
    <row r="5091">
      <c r="A5091" s="5"/>
    </row>
    <row r="5092">
      <c r="A5092" s="5"/>
    </row>
    <row r="5093">
      <c r="A5093" s="5"/>
    </row>
    <row r="5094">
      <c r="A5094" s="5"/>
    </row>
    <row r="5095">
      <c r="A5095" s="5"/>
    </row>
    <row r="5096">
      <c r="A5096" s="5"/>
    </row>
    <row r="5097">
      <c r="A5097" s="5"/>
    </row>
    <row r="5098">
      <c r="A5098" s="5"/>
    </row>
    <row r="5099">
      <c r="A5099" s="5"/>
    </row>
    <row r="5100">
      <c r="A5100" s="5"/>
    </row>
    <row r="5101">
      <c r="A5101" s="5"/>
    </row>
    <row r="5102">
      <c r="A5102" s="5"/>
    </row>
    <row r="5103">
      <c r="A5103" s="5"/>
    </row>
    <row r="5104">
      <c r="A5104" s="5"/>
    </row>
    <row r="5105">
      <c r="A5105" s="5"/>
    </row>
    <row r="5106">
      <c r="A5106" s="5"/>
    </row>
    <row r="5107">
      <c r="A5107" s="5"/>
    </row>
    <row r="5108">
      <c r="A5108" s="5"/>
    </row>
    <row r="5109">
      <c r="A5109" s="5"/>
    </row>
    <row r="5110">
      <c r="A5110" s="5"/>
    </row>
    <row r="5111">
      <c r="A5111" s="5"/>
    </row>
    <row r="5112">
      <c r="A5112" s="5"/>
    </row>
    <row r="5113">
      <c r="A5113" s="5"/>
    </row>
    <row r="5114">
      <c r="A5114" s="5"/>
      <c r="M5114" s="48"/>
    </row>
    <row r="5115">
      <c r="A5115" s="5"/>
      <c r="M5115" s="48"/>
    </row>
    <row r="5116">
      <c r="A5116" s="5"/>
    </row>
    <row r="5117">
      <c r="A5117" s="5"/>
      <c r="M5117" s="48"/>
    </row>
    <row r="5118">
      <c r="A5118" s="5"/>
      <c r="M5118" s="48"/>
    </row>
    <row r="5119">
      <c r="A5119" s="5"/>
      <c r="M5119" s="48"/>
    </row>
    <row r="5120">
      <c r="A5120" s="5"/>
    </row>
    <row r="5121">
      <c r="A5121" s="5"/>
      <c r="M5121" s="48"/>
    </row>
    <row r="5122">
      <c r="A5122" s="5"/>
    </row>
    <row r="5123">
      <c r="A5123" s="5"/>
    </row>
    <row r="5124">
      <c r="A5124" s="5"/>
      <c r="M5124" s="48"/>
    </row>
    <row r="5125">
      <c r="A5125" s="5"/>
      <c r="M5125" s="48"/>
    </row>
    <row r="5126">
      <c r="A5126" s="5"/>
    </row>
    <row r="5127">
      <c r="A5127" s="5"/>
    </row>
    <row r="5128">
      <c r="A5128" s="5"/>
    </row>
    <row r="5129">
      <c r="A5129" s="5"/>
    </row>
    <row r="5130">
      <c r="A5130" s="5"/>
    </row>
    <row r="5131">
      <c r="A5131" s="5"/>
    </row>
    <row r="5132">
      <c r="A5132" s="5"/>
    </row>
    <row r="5133">
      <c r="A5133" s="5"/>
    </row>
    <row r="5134">
      <c r="A5134" s="5"/>
    </row>
    <row r="5135">
      <c r="A5135" s="5"/>
    </row>
    <row r="5136">
      <c r="A5136" s="5"/>
    </row>
    <row r="5137">
      <c r="A5137" s="5"/>
    </row>
    <row r="5138">
      <c r="A5138" s="5"/>
    </row>
    <row r="5139">
      <c r="A5139" s="5"/>
    </row>
    <row r="5140">
      <c r="A5140" s="5"/>
    </row>
    <row r="5141">
      <c r="A5141" s="5"/>
    </row>
    <row r="5142">
      <c r="A5142" s="5"/>
    </row>
    <row r="5143">
      <c r="A5143" s="5"/>
    </row>
    <row r="5144">
      <c r="A5144" s="5"/>
    </row>
    <row r="5145">
      <c r="A5145" s="5"/>
    </row>
    <row r="5146">
      <c r="A5146" s="5"/>
    </row>
    <row r="5147">
      <c r="A5147" s="5"/>
    </row>
    <row r="5148">
      <c r="A5148" s="5"/>
    </row>
    <row r="5149">
      <c r="A5149" s="5"/>
    </row>
    <row r="5150">
      <c r="A5150" s="5"/>
    </row>
    <row r="5151">
      <c r="A5151" s="5"/>
    </row>
    <row r="5152">
      <c r="A5152" s="5"/>
    </row>
    <row r="5153">
      <c r="A5153" s="5"/>
    </row>
    <row r="5154">
      <c r="A5154" s="5"/>
    </row>
    <row r="5155">
      <c r="A5155" s="5"/>
    </row>
    <row r="5156">
      <c r="A5156" s="5"/>
    </row>
    <row r="5157">
      <c r="A5157" s="5"/>
    </row>
    <row r="5158">
      <c r="A5158" s="5"/>
      <c r="M5158" s="48"/>
    </row>
    <row r="5159">
      <c r="A5159" s="5"/>
      <c r="M5159" s="48"/>
    </row>
    <row r="5160">
      <c r="A5160" s="5"/>
      <c r="M5160" s="48"/>
    </row>
    <row r="5161">
      <c r="A5161" s="5"/>
      <c r="M5161" s="48"/>
    </row>
    <row r="5162">
      <c r="A5162" s="5"/>
      <c r="M5162" s="48"/>
    </row>
    <row r="5163">
      <c r="A5163" s="5"/>
    </row>
    <row r="5164">
      <c r="A5164" s="5"/>
    </row>
    <row r="5165">
      <c r="A5165" s="5"/>
      <c r="M5165" s="48"/>
    </row>
    <row r="5166">
      <c r="A5166" s="5"/>
      <c r="M5166" s="48"/>
    </row>
    <row r="5167">
      <c r="A5167" s="5"/>
      <c r="M5167" s="48"/>
    </row>
    <row r="5168">
      <c r="A5168" s="5"/>
      <c r="M5168" s="48"/>
    </row>
    <row r="5169">
      <c r="A5169" s="5"/>
      <c r="M5169" s="48"/>
    </row>
    <row r="5170">
      <c r="A5170" s="5"/>
      <c r="M5170" s="48"/>
    </row>
    <row r="5171">
      <c r="A5171" s="5"/>
      <c r="M5171" s="48"/>
    </row>
    <row r="5172">
      <c r="A5172" s="5"/>
      <c r="M5172" s="48"/>
    </row>
    <row r="5173">
      <c r="A5173" s="5"/>
    </row>
    <row r="5174">
      <c r="A5174" s="5"/>
      <c r="M5174" s="48"/>
    </row>
    <row r="5175">
      <c r="A5175" s="5"/>
    </row>
    <row r="5176">
      <c r="A5176" s="5"/>
      <c r="M5176" s="48"/>
    </row>
    <row r="5177">
      <c r="A5177" s="5"/>
      <c r="M5177" s="48"/>
    </row>
    <row r="5178">
      <c r="A5178" s="5"/>
      <c r="M5178" s="48"/>
    </row>
    <row r="5179">
      <c r="A5179" s="5"/>
      <c r="M5179" s="48"/>
    </row>
    <row r="5180">
      <c r="A5180" s="5"/>
    </row>
    <row r="5181">
      <c r="A5181" s="5"/>
      <c r="M5181" s="48"/>
    </row>
    <row r="5182">
      <c r="A5182" s="5"/>
      <c r="M5182" s="48"/>
    </row>
    <row r="5183">
      <c r="A5183" s="5"/>
      <c r="M5183" s="48"/>
    </row>
    <row r="5184">
      <c r="A5184" s="5"/>
      <c r="M5184" s="48"/>
    </row>
    <row r="5185">
      <c r="A5185" s="5"/>
    </row>
    <row r="5186">
      <c r="A5186" s="5"/>
    </row>
    <row r="5187">
      <c r="A5187" s="5"/>
    </row>
    <row r="5188">
      <c r="A5188" s="5"/>
    </row>
    <row r="5189">
      <c r="A5189" s="5"/>
    </row>
    <row r="5190">
      <c r="A5190" s="5"/>
    </row>
    <row r="5191">
      <c r="A5191" s="5"/>
    </row>
    <row r="5192">
      <c r="A5192" s="5"/>
      <c r="M5192" s="48"/>
    </row>
    <row r="5193">
      <c r="A5193" s="5"/>
    </row>
    <row r="5194">
      <c r="A5194" s="5"/>
    </row>
    <row r="5195">
      <c r="A5195" s="5"/>
    </row>
    <row r="5196">
      <c r="A5196" s="5"/>
    </row>
    <row r="5197">
      <c r="A5197" s="5"/>
    </row>
    <row r="5198">
      <c r="A5198" s="5"/>
    </row>
    <row r="5199">
      <c r="A5199" s="5"/>
    </row>
    <row r="5200">
      <c r="A5200" s="5"/>
    </row>
    <row r="5201">
      <c r="A5201" s="5"/>
    </row>
    <row r="5202">
      <c r="A5202" s="5"/>
    </row>
    <row r="5203">
      <c r="A5203" s="5"/>
    </row>
    <row r="5204">
      <c r="A5204" s="5"/>
    </row>
    <row r="5205">
      <c r="A5205" s="5"/>
    </row>
    <row r="5206">
      <c r="A5206" s="5"/>
    </row>
    <row r="5207">
      <c r="A5207" s="5"/>
    </row>
    <row r="5208">
      <c r="A5208" s="5"/>
    </row>
    <row r="5209">
      <c r="A5209" s="5"/>
    </row>
    <row r="5210">
      <c r="A5210" s="5"/>
    </row>
    <row r="5211">
      <c r="A5211" s="5"/>
    </row>
    <row r="5212">
      <c r="A5212" s="5"/>
    </row>
    <row r="5213">
      <c r="A5213" s="5"/>
    </row>
    <row r="5214">
      <c r="A5214" s="5"/>
    </row>
    <row r="5215">
      <c r="A5215" s="5"/>
    </row>
    <row r="5216">
      <c r="A5216" s="5"/>
    </row>
    <row r="5217">
      <c r="A5217" s="5"/>
    </row>
    <row r="5218">
      <c r="A5218" s="5"/>
    </row>
    <row r="5219">
      <c r="A5219" s="5"/>
    </row>
    <row r="5220">
      <c r="A5220" s="5"/>
    </row>
    <row r="5221">
      <c r="A5221" s="5"/>
    </row>
    <row r="5222">
      <c r="A5222" s="5"/>
    </row>
    <row r="5223">
      <c r="A5223" s="5"/>
    </row>
    <row r="5224">
      <c r="A5224" s="5"/>
    </row>
    <row r="5225">
      <c r="A5225" s="5"/>
    </row>
    <row r="5226">
      <c r="A5226" s="5"/>
    </row>
    <row r="5227">
      <c r="A5227" s="5"/>
    </row>
    <row r="5228">
      <c r="A5228" s="5"/>
    </row>
    <row r="5229">
      <c r="A5229" s="5"/>
    </row>
    <row r="5230">
      <c r="A5230" s="5"/>
    </row>
    <row r="5231">
      <c r="A5231" s="5"/>
    </row>
    <row r="5232">
      <c r="A5232" s="5"/>
    </row>
    <row r="5233">
      <c r="A5233" s="5"/>
    </row>
    <row r="5234">
      <c r="A5234" s="5"/>
    </row>
    <row r="5235">
      <c r="A5235" s="5"/>
    </row>
    <row r="5236">
      <c r="A5236" s="5"/>
    </row>
    <row r="5237">
      <c r="A5237" s="5"/>
    </row>
    <row r="5238">
      <c r="A5238" s="5"/>
    </row>
    <row r="5239">
      <c r="A5239" s="5"/>
    </row>
    <row r="5240">
      <c r="A5240" s="5"/>
    </row>
    <row r="5241">
      <c r="A5241" s="5"/>
    </row>
    <row r="5242">
      <c r="A5242" s="5"/>
    </row>
    <row r="5243">
      <c r="A5243" s="5"/>
    </row>
    <row r="5244">
      <c r="A5244" s="5"/>
    </row>
    <row r="5245">
      <c r="A5245" s="5"/>
    </row>
    <row r="5246">
      <c r="A5246" s="5"/>
    </row>
    <row r="5247">
      <c r="A5247" s="5"/>
    </row>
    <row r="5248">
      <c r="A5248" s="5"/>
    </row>
    <row r="5249">
      <c r="A5249" s="5"/>
    </row>
    <row r="5250">
      <c r="A5250" s="5"/>
    </row>
    <row r="5251">
      <c r="A5251" s="5"/>
    </row>
    <row r="5252">
      <c r="A5252" s="5"/>
    </row>
    <row r="5253">
      <c r="A5253" s="5"/>
    </row>
    <row r="5254">
      <c r="A5254" s="5"/>
    </row>
    <row r="5255">
      <c r="A5255" s="5"/>
    </row>
    <row r="5256">
      <c r="A5256" s="5"/>
    </row>
    <row r="5257">
      <c r="A5257" s="5"/>
    </row>
    <row r="5258">
      <c r="A5258" s="5"/>
    </row>
    <row r="5259">
      <c r="A5259" s="5"/>
    </row>
    <row r="5260">
      <c r="A5260" s="5"/>
    </row>
    <row r="5261">
      <c r="A5261" s="5"/>
    </row>
    <row r="5262">
      <c r="A5262" s="5"/>
    </row>
    <row r="5263">
      <c r="A5263" s="5"/>
    </row>
    <row r="5264">
      <c r="A5264" s="5"/>
    </row>
    <row r="5265">
      <c r="A5265" s="5"/>
    </row>
    <row r="5266">
      <c r="A5266" s="5"/>
    </row>
    <row r="5267">
      <c r="A5267" s="5"/>
    </row>
    <row r="5268">
      <c r="A5268" s="5"/>
    </row>
    <row r="5269">
      <c r="A5269" s="5"/>
    </row>
    <row r="5270">
      <c r="A5270" s="5"/>
    </row>
    <row r="5271">
      <c r="A5271" s="5"/>
    </row>
    <row r="5272">
      <c r="A5272" s="5"/>
    </row>
    <row r="5273">
      <c r="A5273" s="5"/>
    </row>
    <row r="5274">
      <c r="A5274" s="5"/>
    </row>
    <row r="5275">
      <c r="A5275" s="5"/>
    </row>
    <row r="5276">
      <c r="A5276" s="5"/>
    </row>
    <row r="5277">
      <c r="A5277" s="5"/>
    </row>
    <row r="5278">
      <c r="A5278" s="5"/>
    </row>
    <row r="5279">
      <c r="A5279" s="5"/>
    </row>
    <row r="5280">
      <c r="A5280" s="5"/>
    </row>
    <row r="5281">
      <c r="A5281" s="5"/>
    </row>
    <row r="5282">
      <c r="A5282" s="5"/>
    </row>
    <row r="5283">
      <c r="A5283" s="5"/>
    </row>
    <row r="5284">
      <c r="A5284" s="5"/>
    </row>
    <row r="5285">
      <c r="A5285" s="5"/>
    </row>
    <row r="5286">
      <c r="A5286" s="5"/>
    </row>
    <row r="5287">
      <c r="A5287" s="5"/>
    </row>
    <row r="5288">
      <c r="A5288" s="5"/>
    </row>
    <row r="5289">
      <c r="A5289" s="5"/>
    </row>
    <row r="5290">
      <c r="A5290" s="5"/>
    </row>
    <row r="5291">
      <c r="A5291" s="5"/>
    </row>
    <row r="5292">
      <c r="A5292" s="5"/>
    </row>
    <row r="5293">
      <c r="A5293" s="5"/>
    </row>
    <row r="5294">
      <c r="A5294" s="5"/>
    </row>
    <row r="5295">
      <c r="A5295" s="5"/>
    </row>
    <row r="5296">
      <c r="A5296" s="5"/>
    </row>
    <row r="5297">
      <c r="A5297" s="5"/>
    </row>
    <row r="5298">
      <c r="A5298" s="5"/>
    </row>
    <row r="5299">
      <c r="A5299" s="5"/>
    </row>
    <row r="5300">
      <c r="A5300" s="5"/>
    </row>
    <row r="5301">
      <c r="A5301" s="5"/>
    </row>
    <row r="5302">
      <c r="A5302" s="5"/>
    </row>
    <row r="5303">
      <c r="A5303" s="5"/>
    </row>
    <row r="5304">
      <c r="A5304" s="5"/>
    </row>
    <row r="5305">
      <c r="A5305" s="5"/>
    </row>
    <row r="5306">
      <c r="A5306" s="5"/>
    </row>
    <row r="5307">
      <c r="A5307" s="5"/>
    </row>
    <row r="5308">
      <c r="A5308" s="5"/>
    </row>
    <row r="5309">
      <c r="A5309" s="5"/>
    </row>
    <row r="5310">
      <c r="A5310" s="5"/>
    </row>
    <row r="5311">
      <c r="A5311" s="5"/>
    </row>
    <row r="5312">
      <c r="A5312" s="5"/>
    </row>
    <row r="5313">
      <c r="A5313" s="5"/>
    </row>
    <row r="5314">
      <c r="A5314" s="5"/>
    </row>
    <row r="5315">
      <c r="A5315" s="5"/>
    </row>
    <row r="5316">
      <c r="A5316" s="5"/>
    </row>
    <row r="5317">
      <c r="A5317" s="5"/>
    </row>
    <row r="5318">
      <c r="A5318" s="5"/>
    </row>
    <row r="5319">
      <c r="A5319" s="5"/>
    </row>
    <row r="5320">
      <c r="A5320" s="5"/>
    </row>
    <row r="5321">
      <c r="A5321" s="5"/>
    </row>
    <row r="5322">
      <c r="A5322" s="5"/>
    </row>
    <row r="5323">
      <c r="A5323" s="5"/>
    </row>
    <row r="5324">
      <c r="A5324" s="5"/>
    </row>
    <row r="5325">
      <c r="A5325" s="5"/>
    </row>
    <row r="5326">
      <c r="A5326" s="5"/>
    </row>
    <row r="5327">
      <c r="A5327" s="5"/>
    </row>
    <row r="5328">
      <c r="A5328" s="5"/>
    </row>
    <row r="5329">
      <c r="A5329" s="5"/>
    </row>
    <row r="5330">
      <c r="A5330" s="5"/>
    </row>
    <row r="5331">
      <c r="A5331" s="5"/>
    </row>
    <row r="5332">
      <c r="A5332" s="5"/>
    </row>
    <row r="5333">
      <c r="A5333" s="5"/>
    </row>
    <row r="5334">
      <c r="A5334" s="5"/>
    </row>
    <row r="5335">
      <c r="A5335" s="5"/>
    </row>
    <row r="5336">
      <c r="A5336" s="5"/>
    </row>
    <row r="5337">
      <c r="A5337" s="5"/>
    </row>
    <row r="5338">
      <c r="A5338" s="5"/>
    </row>
    <row r="5339">
      <c r="A5339" s="5"/>
    </row>
    <row r="5340">
      <c r="A5340" s="5"/>
    </row>
    <row r="5341">
      <c r="A5341" s="5"/>
    </row>
    <row r="5342">
      <c r="A5342" s="5"/>
    </row>
    <row r="5343">
      <c r="A5343" s="5"/>
    </row>
    <row r="5344">
      <c r="A5344" s="5"/>
    </row>
    <row r="5345">
      <c r="A5345" s="5"/>
    </row>
    <row r="5346">
      <c r="A5346" s="5"/>
    </row>
    <row r="5347">
      <c r="A5347" s="5"/>
    </row>
    <row r="5348">
      <c r="A5348" s="5"/>
    </row>
    <row r="5349">
      <c r="A5349" s="5"/>
    </row>
    <row r="5350">
      <c r="A5350" s="5"/>
    </row>
    <row r="5351">
      <c r="A5351" s="5"/>
    </row>
    <row r="5352">
      <c r="A5352" s="5"/>
    </row>
    <row r="5353">
      <c r="A5353" s="5"/>
    </row>
    <row r="5354">
      <c r="A5354" s="5"/>
    </row>
    <row r="5355">
      <c r="A5355" s="5"/>
    </row>
    <row r="5356">
      <c r="A5356" s="5"/>
    </row>
    <row r="5357">
      <c r="A5357" s="5"/>
    </row>
    <row r="5358">
      <c r="A5358" s="5"/>
    </row>
    <row r="5359">
      <c r="A5359" s="5"/>
    </row>
    <row r="5360">
      <c r="A5360" s="5"/>
    </row>
    <row r="5361">
      <c r="A5361" s="5"/>
    </row>
    <row r="5362">
      <c r="A5362" s="5"/>
    </row>
    <row r="5363">
      <c r="A5363" s="5"/>
    </row>
    <row r="5364">
      <c r="A5364" s="5"/>
    </row>
    <row r="5365">
      <c r="A5365" s="5"/>
    </row>
    <row r="5366">
      <c r="A5366" s="5"/>
    </row>
    <row r="5367">
      <c r="A5367" s="5"/>
    </row>
    <row r="5368">
      <c r="A5368" s="5"/>
    </row>
    <row r="5369">
      <c r="A5369" s="5"/>
    </row>
    <row r="5370">
      <c r="A5370" s="5"/>
    </row>
    <row r="5371">
      <c r="A5371" s="5"/>
    </row>
    <row r="5372">
      <c r="A5372" s="5"/>
    </row>
    <row r="5373">
      <c r="A5373" s="5"/>
    </row>
    <row r="5374">
      <c r="A5374" s="5"/>
    </row>
    <row r="5375">
      <c r="A5375" s="5"/>
    </row>
    <row r="5376">
      <c r="A5376" s="5"/>
    </row>
    <row r="5377">
      <c r="A5377" s="5"/>
    </row>
    <row r="5378">
      <c r="A5378" s="5"/>
    </row>
    <row r="5379">
      <c r="A5379" s="5"/>
    </row>
    <row r="5380">
      <c r="A5380" s="5"/>
    </row>
    <row r="5381">
      <c r="A5381" s="5"/>
    </row>
    <row r="5382">
      <c r="A5382" s="5"/>
    </row>
    <row r="5383">
      <c r="A5383" s="5"/>
    </row>
    <row r="5384">
      <c r="A5384" s="5"/>
    </row>
    <row r="5385">
      <c r="A5385" s="5"/>
    </row>
    <row r="5386">
      <c r="A5386" s="5"/>
    </row>
    <row r="5387">
      <c r="A5387" s="5"/>
    </row>
    <row r="5388">
      <c r="A5388" s="5"/>
    </row>
    <row r="5389">
      <c r="A5389" s="5"/>
    </row>
    <row r="5390">
      <c r="A5390" s="5"/>
    </row>
    <row r="5391">
      <c r="A5391" s="5"/>
    </row>
    <row r="5392">
      <c r="A5392" s="5"/>
    </row>
    <row r="5393">
      <c r="A5393" s="5"/>
    </row>
    <row r="5394">
      <c r="A5394" s="5"/>
    </row>
    <row r="5395">
      <c r="A5395" s="5"/>
    </row>
    <row r="5396">
      <c r="A5396" s="5"/>
    </row>
    <row r="5397">
      <c r="A5397" s="5"/>
    </row>
    <row r="5398">
      <c r="A5398" s="5"/>
    </row>
    <row r="5399">
      <c r="A5399" s="5"/>
    </row>
    <row r="5400">
      <c r="A5400" s="5"/>
    </row>
    <row r="5401">
      <c r="A5401" s="5"/>
    </row>
    <row r="5402">
      <c r="A5402" s="5"/>
    </row>
    <row r="5403">
      <c r="A5403" s="5"/>
    </row>
    <row r="5404">
      <c r="A5404" s="5"/>
    </row>
    <row r="5405">
      <c r="A5405" s="5"/>
    </row>
    <row r="5406">
      <c r="A5406" s="5"/>
    </row>
    <row r="5407">
      <c r="A5407" s="5"/>
    </row>
    <row r="5408">
      <c r="A5408" s="5"/>
    </row>
    <row r="5409">
      <c r="A5409" s="5"/>
    </row>
    <row r="5410">
      <c r="A5410" s="5"/>
    </row>
    <row r="5411">
      <c r="A5411" s="5"/>
    </row>
    <row r="5412">
      <c r="A5412" s="5"/>
    </row>
    <row r="5413">
      <c r="A5413" s="5"/>
    </row>
    <row r="5414">
      <c r="A5414" s="5"/>
    </row>
    <row r="5415">
      <c r="A5415" s="5"/>
    </row>
    <row r="5416">
      <c r="A5416" s="5"/>
    </row>
    <row r="5417">
      <c r="A5417" s="5"/>
    </row>
    <row r="5418">
      <c r="A5418" s="5"/>
    </row>
    <row r="5419">
      <c r="A5419" s="5"/>
    </row>
    <row r="5420">
      <c r="A5420" s="5"/>
    </row>
    <row r="5421">
      <c r="A5421" s="5"/>
    </row>
    <row r="5422">
      <c r="A5422" s="5"/>
    </row>
    <row r="5423">
      <c r="A5423" s="5"/>
    </row>
    <row r="5424">
      <c r="A5424" s="5"/>
    </row>
    <row r="5425">
      <c r="A5425" s="5"/>
    </row>
    <row r="5426">
      <c r="A5426" s="5"/>
    </row>
    <row r="5427">
      <c r="A5427" s="5"/>
    </row>
    <row r="5428">
      <c r="A5428" s="5"/>
    </row>
    <row r="5429">
      <c r="A5429" s="5"/>
    </row>
    <row r="5430">
      <c r="A5430" s="5"/>
    </row>
    <row r="5431">
      <c r="A5431" s="5"/>
    </row>
    <row r="5432">
      <c r="A5432" s="5"/>
    </row>
    <row r="5433">
      <c r="A5433" s="5"/>
    </row>
    <row r="5434">
      <c r="A5434" s="5"/>
    </row>
    <row r="5435">
      <c r="A5435" s="5"/>
    </row>
    <row r="5436">
      <c r="A5436" s="5"/>
    </row>
    <row r="5437">
      <c r="A5437" s="5"/>
    </row>
    <row r="5438">
      <c r="A5438" s="5"/>
    </row>
    <row r="5439">
      <c r="A5439" s="5"/>
    </row>
    <row r="5440">
      <c r="A5440" s="5"/>
    </row>
    <row r="5441">
      <c r="A5441" s="5"/>
    </row>
    <row r="5442">
      <c r="A5442" s="5"/>
    </row>
    <row r="5443">
      <c r="A5443" s="5"/>
    </row>
    <row r="5444">
      <c r="A5444" s="5"/>
    </row>
    <row r="5445">
      <c r="A5445" s="5"/>
    </row>
    <row r="5446">
      <c r="A5446" s="5"/>
    </row>
    <row r="5447">
      <c r="A5447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6.63"/>
    <col customWidth="1" min="3" max="3" width="7.25"/>
    <col customWidth="1" min="4" max="4" width="5.88"/>
    <col customWidth="1" min="6" max="6" width="20.5"/>
    <col customWidth="1" min="7" max="7" width="7.63"/>
    <col customWidth="1" min="8" max="8" width="7.5"/>
    <col customWidth="1" min="9" max="9" width="18.88"/>
  </cols>
  <sheetData>
    <row r="1">
      <c r="A1" s="16" t="s">
        <v>42</v>
      </c>
      <c r="B1" s="16">
        <v>1.0</v>
      </c>
      <c r="C1" s="16" t="s">
        <v>12</v>
      </c>
      <c r="D1" s="16">
        <v>8.0</v>
      </c>
      <c r="E1" s="16" t="s">
        <v>312</v>
      </c>
      <c r="F1" s="35">
        <v>46282.74129469907</v>
      </c>
      <c r="G1" s="16"/>
      <c r="H1" s="16"/>
      <c r="I1" s="16"/>
      <c r="J1" s="16" t="s">
        <v>313</v>
      </c>
      <c r="K1" s="36" t="s">
        <v>314</v>
      </c>
      <c r="L1" s="16" t="s">
        <v>315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8" t="s">
        <v>42</v>
      </c>
      <c r="B2" s="11">
        <v>1.0</v>
      </c>
      <c r="C2" s="8" t="s">
        <v>12</v>
      </c>
      <c r="D2" s="11">
        <v>8.0</v>
      </c>
      <c r="E2" s="8" t="s">
        <v>312</v>
      </c>
      <c r="F2" s="5">
        <v>46282.75385982639</v>
      </c>
      <c r="J2" s="8" t="s">
        <v>316</v>
      </c>
      <c r="K2" s="37" t="s">
        <v>317</v>
      </c>
      <c r="L2" s="8" t="s">
        <v>318</v>
      </c>
    </row>
    <row r="3">
      <c r="A3" s="8" t="s">
        <v>42</v>
      </c>
      <c r="B3" s="11">
        <v>1.0</v>
      </c>
      <c r="C3" s="8" t="s">
        <v>12</v>
      </c>
      <c r="D3" s="11">
        <v>10.0</v>
      </c>
      <c r="E3" s="8" t="s">
        <v>312</v>
      </c>
      <c r="F3" s="5">
        <v>46282.75752701389</v>
      </c>
      <c r="J3" s="8" t="s">
        <v>319</v>
      </c>
      <c r="K3" s="37" t="s">
        <v>314</v>
      </c>
      <c r="L3" s="8" t="s">
        <v>320</v>
      </c>
    </row>
    <row r="4">
      <c r="A4" s="19" t="s">
        <v>42</v>
      </c>
      <c r="B4" s="11">
        <v>1.0</v>
      </c>
      <c r="C4" s="8" t="s">
        <v>12</v>
      </c>
      <c r="D4" s="11">
        <v>7.0</v>
      </c>
      <c r="E4" s="8" t="s">
        <v>312</v>
      </c>
      <c r="F4" s="5">
        <v>46282.75802094907</v>
      </c>
      <c r="J4" s="8" t="s">
        <v>319</v>
      </c>
      <c r="K4" s="37" t="s">
        <v>321</v>
      </c>
      <c r="L4" s="8" t="s">
        <v>322</v>
      </c>
    </row>
    <row r="5">
      <c r="A5" s="19" t="s">
        <v>46</v>
      </c>
      <c r="B5" s="11">
        <v>1.0</v>
      </c>
      <c r="C5" s="8" t="s">
        <v>12</v>
      </c>
      <c r="D5" s="11">
        <v>7.0</v>
      </c>
      <c r="E5" s="8" t="s">
        <v>312</v>
      </c>
      <c r="F5" s="5">
        <v>46282.764212511574</v>
      </c>
      <c r="J5" s="8" t="s">
        <v>319</v>
      </c>
      <c r="K5" s="37" t="s">
        <v>323</v>
      </c>
      <c r="L5" s="8" t="s">
        <v>322</v>
      </c>
    </row>
    <row r="6">
      <c r="A6" s="8" t="s">
        <v>48</v>
      </c>
      <c r="B6" s="11">
        <v>1.0</v>
      </c>
      <c r="C6" s="8" t="s">
        <v>12</v>
      </c>
      <c r="D6" s="11">
        <v>5.0</v>
      </c>
      <c r="E6" s="8" t="s">
        <v>324</v>
      </c>
      <c r="F6" s="5">
        <v>46282.77668631944</v>
      </c>
      <c r="J6" s="8" t="s">
        <v>316</v>
      </c>
      <c r="K6" s="37" t="s">
        <v>325</v>
      </c>
      <c r="L6" s="8" t="s">
        <v>322</v>
      </c>
    </row>
    <row r="7">
      <c r="A7" s="8" t="s">
        <v>7</v>
      </c>
      <c r="B7" s="11">
        <v>1.0</v>
      </c>
      <c r="C7" s="8" t="s">
        <v>12</v>
      </c>
      <c r="D7" s="11">
        <v>7.0</v>
      </c>
      <c r="E7" s="8" t="s">
        <v>312</v>
      </c>
      <c r="F7" s="5">
        <v>46282.77913082176</v>
      </c>
      <c r="J7" s="8" t="s">
        <v>319</v>
      </c>
      <c r="K7" s="37" t="s">
        <v>326</v>
      </c>
      <c r="L7" s="8" t="s">
        <v>322</v>
      </c>
    </row>
    <row r="8">
      <c r="A8" s="8" t="s">
        <v>18</v>
      </c>
      <c r="B8" s="11">
        <v>1.0</v>
      </c>
      <c r="C8" s="8" t="s">
        <v>12</v>
      </c>
      <c r="D8" s="11">
        <v>4.0</v>
      </c>
      <c r="E8" s="8" t="s">
        <v>324</v>
      </c>
      <c r="F8" s="5">
        <v>46282.7912449537</v>
      </c>
      <c r="J8" s="8" t="s">
        <v>319</v>
      </c>
      <c r="K8" s="37" t="s">
        <v>327</v>
      </c>
      <c r="L8" s="8" t="s">
        <v>320</v>
      </c>
    </row>
    <row r="9">
      <c r="A9" s="8" t="s">
        <v>49</v>
      </c>
      <c r="B9" s="11">
        <v>1.0</v>
      </c>
      <c r="C9" s="8" t="s">
        <v>12</v>
      </c>
      <c r="D9" s="11">
        <v>2.0</v>
      </c>
      <c r="E9" s="8" t="s">
        <v>324</v>
      </c>
      <c r="F9" s="5">
        <v>46282.79218539352</v>
      </c>
      <c r="J9" s="8" t="s">
        <v>319</v>
      </c>
      <c r="K9" s="37" t="s">
        <v>328</v>
      </c>
      <c r="L9" s="8" t="s">
        <v>329</v>
      </c>
    </row>
    <row r="10">
      <c r="A10" s="8" t="s">
        <v>18</v>
      </c>
      <c r="B10" s="11">
        <v>1.0</v>
      </c>
      <c r="C10" s="8" t="s">
        <v>12</v>
      </c>
      <c r="D10" s="11">
        <v>4.0</v>
      </c>
      <c r="E10" s="8" t="s">
        <v>324</v>
      </c>
      <c r="F10" s="5">
        <v>46283.284479016205</v>
      </c>
      <c r="J10" s="8" t="s">
        <v>330</v>
      </c>
      <c r="K10" s="37" t="s">
        <v>331</v>
      </c>
      <c r="L10" s="8" t="s">
        <v>332</v>
      </c>
    </row>
    <row r="11">
      <c r="A11" s="8" t="s">
        <v>54</v>
      </c>
      <c r="B11" s="11">
        <v>1.0</v>
      </c>
      <c r="C11" s="8" t="s">
        <v>12</v>
      </c>
      <c r="D11" s="11">
        <v>5.0</v>
      </c>
      <c r="E11" s="8" t="s">
        <v>324</v>
      </c>
      <c r="F11" s="5">
        <v>46283.288304710644</v>
      </c>
      <c r="J11" s="8" t="s">
        <v>319</v>
      </c>
      <c r="K11" s="37" t="s">
        <v>333</v>
      </c>
      <c r="L11" s="8" t="s">
        <v>332</v>
      </c>
    </row>
    <row r="12">
      <c r="A12" s="8" t="s">
        <v>18</v>
      </c>
      <c r="B12" s="11">
        <v>1.0</v>
      </c>
      <c r="C12" s="8" t="s">
        <v>12</v>
      </c>
      <c r="D12" s="11">
        <v>1.0</v>
      </c>
      <c r="E12" s="8" t="s">
        <v>324</v>
      </c>
      <c r="F12" s="5">
        <v>46283.291537557874</v>
      </c>
      <c r="J12" s="8" t="s">
        <v>319</v>
      </c>
      <c r="K12" s="37" t="s">
        <v>314</v>
      </c>
      <c r="L12" s="8" t="s">
        <v>334</v>
      </c>
    </row>
    <row r="13">
      <c r="A13" s="8" t="s">
        <v>63</v>
      </c>
      <c r="B13" s="11">
        <v>1.0</v>
      </c>
      <c r="C13" s="8" t="s">
        <v>12</v>
      </c>
      <c r="D13" s="11">
        <v>4.0</v>
      </c>
      <c r="E13" s="8" t="s">
        <v>324</v>
      </c>
      <c r="F13" s="5">
        <v>46283.29368894676</v>
      </c>
      <c r="J13" s="8" t="s">
        <v>319</v>
      </c>
      <c r="K13" s="37" t="s">
        <v>314</v>
      </c>
      <c r="L13" s="8" t="s">
        <v>335</v>
      </c>
    </row>
    <row r="14">
      <c r="A14" s="8" t="s">
        <v>88</v>
      </c>
      <c r="B14" s="11">
        <v>1.0</v>
      </c>
      <c r="C14" s="8" t="s">
        <v>12</v>
      </c>
      <c r="D14" s="11">
        <v>5.0</v>
      </c>
      <c r="E14" s="8" t="s">
        <v>324</v>
      </c>
      <c r="F14" s="5">
        <v>46283.51037209491</v>
      </c>
      <c r="J14" s="8" t="s">
        <v>316</v>
      </c>
      <c r="K14" s="37" t="s">
        <v>336</v>
      </c>
      <c r="L14" s="8" t="s">
        <v>337</v>
      </c>
    </row>
    <row r="15">
      <c r="A15" s="8" t="s">
        <v>18</v>
      </c>
      <c r="B15" s="11">
        <v>1.0</v>
      </c>
      <c r="C15" s="8" t="s">
        <v>12</v>
      </c>
      <c r="D15" s="11">
        <v>5.0</v>
      </c>
      <c r="E15" s="8" t="s">
        <v>324</v>
      </c>
      <c r="F15" s="5">
        <v>46283.51042332176</v>
      </c>
      <c r="J15" s="8" t="s">
        <v>319</v>
      </c>
      <c r="K15" s="37" t="s">
        <v>338</v>
      </c>
      <c r="L15" s="8" t="s">
        <v>320</v>
      </c>
    </row>
    <row r="16">
      <c r="A16" s="8" t="s">
        <v>18</v>
      </c>
      <c r="B16" s="11">
        <v>1.0</v>
      </c>
      <c r="C16" s="8" t="s">
        <v>12</v>
      </c>
      <c r="D16" s="11">
        <v>10.0</v>
      </c>
      <c r="E16" s="8" t="s">
        <v>312</v>
      </c>
      <c r="F16" s="5">
        <v>46283.510607662036</v>
      </c>
      <c r="J16" s="8" t="s">
        <v>319</v>
      </c>
      <c r="K16" s="37" t="s">
        <v>314</v>
      </c>
      <c r="L16" s="8" t="s">
        <v>320</v>
      </c>
    </row>
    <row r="17">
      <c r="A17" s="8" t="s">
        <v>93</v>
      </c>
      <c r="B17" s="11">
        <v>1.0</v>
      </c>
      <c r="C17" s="8" t="s">
        <v>12</v>
      </c>
      <c r="D17" s="11">
        <v>5.0</v>
      </c>
      <c r="E17" s="8" t="s">
        <v>324</v>
      </c>
      <c r="F17" s="5">
        <v>46283.51098553241</v>
      </c>
      <c r="J17" s="8" t="s">
        <v>316</v>
      </c>
      <c r="K17" s="37" t="s">
        <v>339</v>
      </c>
      <c r="L17" s="8" t="s">
        <v>340</v>
      </c>
    </row>
    <row r="18">
      <c r="A18" s="8" t="s">
        <v>18</v>
      </c>
      <c r="B18" s="8">
        <v>1.0</v>
      </c>
      <c r="C18" s="8" t="s">
        <v>12</v>
      </c>
      <c r="D18" s="11">
        <v>1.0</v>
      </c>
      <c r="E18" s="8" t="s">
        <v>324</v>
      </c>
      <c r="F18" s="5">
        <v>46284.36711229167</v>
      </c>
      <c r="G18" s="8">
        <v>1.0</v>
      </c>
      <c r="H18" s="8">
        <v>1.0</v>
      </c>
      <c r="I18" s="8" t="s">
        <v>18</v>
      </c>
      <c r="J18" s="8" t="s">
        <v>319</v>
      </c>
      <c r="K18" s="38"/>
    </row>
    <row r="19">
      <c r="A19" s="8" t="s">
        <v>49</v>
      </c>
      <c r="B19" s="8">
        <v>1.0</v>
      </c>
      <c r="C19" s="8" t="s">
        <v>12</v>
      </c>
      <c r="D19" s="11">
        <v>1.0</v>
      </c>
      <c r="E19" s="8" t="s">
        <v>324</v>
      </c>
      <c r="F19" s="5">
        <v>46284.36823891204</v>
      </c>
      <c r="G19" s="8">
        <v>1.0</v>
      </c>
      <c r="H19" s="8">
        <v>1.0</v>
      </c>
      <c r="I19" s="8" t="s">
        <v>18</v>
      </c>
      <c r="J19" s="8" t="s">
        <v>319</v>
      </c>
      <c r="K19" s="38"/>
    </row>
    <row r="20">
      <c r="A20" s="8" t="s">
        <v>127</v>
      </c>
      <c r="B20" s="8">
        <v>1.0</v>
      </c>
      <c r="C20" s="8" t="s">
        <v>12</v>
      </c>
      <c r="D20" s="11">
        <v>1.0</v>
      </c>
      <c r="E20" s="8" t="s">
        <v>324</v>
      </c>
      <c r="F20" s="5">
        <v>46284.37485202546</v>
      </c>
      <c r="G20" s="8">
        <v>1.0</v>
      </c>
      <c r="H20" s="8">
        <v>1.0</v>
      </c>
      <c r="I20" s="8" t="s">
        <v>18</v>
      </c>
      <c r="J20" s="8" t="s">
        <v>319</v>
      </c>
      <c r="K20" s="38"/>
    </row>
    <row r="21">
      <c r="A21" s="8" t="s">
        <v>18</v>
      </c>
      <c r="B21" s="8">
        <v>2.0</v>
      </c>
      <c r="C21" s="8" t="s">
        <v>12</v>
      </c>
      <c r="D21" s="11">
        <v>1.0</v>
      </c>
      <c r="E21" s="8" t="s">
        <v>324</v>
      </c>
      <c r="F21" s="5">
        <v>46284.38521083334</v>
      </c>
      <c r="G21" s="8">
        <v>1.0</v>
      </c>
      <c r="H21" s="8">
        <v>1.0</v>
      </c>
      <c r="I21" s="8" t="s">
        <v>18</v>
      </c>
      <c r="J21" s="8" t="s">
        <v>319</v>
      </c>
      <c r="K21" s="38"/>
    </row>
    <row r="22">
      <c r="A22" s="8" t="s">
        <v>49</v>
      </c>
      <c r="B22" s="8">
        <v>2.0</v>
      </c>
      <c r="C22" s="8" t="s">
        <v>12</v>
      </c>
      <c r="D22" s="11">
        <v>10.0</v>
      </c>
      <c r="E22" s="8" t="s">
        <v>312</v>
      </c>
      <c r="F22" s="5">
        <v>46284.68946480324</v>
      </c>
      <c r="G22" s="8">
        <v>1.0</v>
      </c>
      <c r="H22" s="8">
        <v>1.0</v>
      </c>
      <c r="I22" s="8" t="s">
        <v>18</v>
      </c>
      <c r="J22" s="8" t="s">
        <v>319</v>
      </c>
      <c r="K22" s="37" t="s">
        <v>314</v>
      </c>
      <c r="L22" s="8" t="s">
        <v>341</v>
      </c>
    </row>
    <row r="23">
      <c r="A23" s="8" t="s">
        <v>145</v>
      </c>
      <c r="B23" s="8">
        <v>1.0</v>
      </c>
      <c r="C23" s="8" t="s">
        <v>12</v>
      </c>
      <c r="D23" s="11">
        <v>10.0</v>
      </c>
      <c r="E23" s="8" t="s">
        <v>312</v>
      </c>
      <c r="F23" s="5">
        <v>46284.70506104166</v>
      </c>
      <c r="G23" s="8">
        <v>1.0</v>
      </c>
      <c r="H23" s="8">
        <v>1.0</v>
      </c>
      <c r="I23" s="8" t="s">
        <v>18</v>
      </c>
      <c r="J23" s="8" t="s">
        <v>319</v>
      </c>
      <c r="K23" s="37" t="s">
        <v>314</v>
      </c>
      <c r="L23" s="8" t="s">
        <v>342</v>
      </c>
    </row>
    <row r="24">
      <c r="A24" s="8" t="s">
        <v>164</v>
      </c>
      <c r="B24" s="8">
        <v>1.0</v>
      </c>
      <c r="C24" s="8" t="s">
        <v>12</v>
      </c>
      <c r="D24" s="11">
        <v>10.0</v>
      </c>
      <c r="E24" s="8" t="s">
        <v>312</v>
      </c>
      <c r="F24" s="5">
        <v>46284.71065490741</v>
      </c>
      <c r="G24" s="8">
        <v>1.0</v>
      </c>
      <c r="H24" s="8">
        <v>1.0</v>
      </c>
      <c r="I24" s="8" t="s">
        <v>18</v>
      </c>
      <c r="J24" s="8" t="s">
        <v>319</v>
      </c>
      <c r="K24" s="37" t="s">
        <v>314</v>
      </c>
      <c r="L24" s="8" t="s">
        <v>343</v>
      </c>
    </row>
    <row r="25">
      <c r="A25" s="8" t="s">
        <v>49</v>
      </c>
      <c r="B25" s="8">
        <v>2.0</v>
      </c>
      <c r="C25" s="8" t="s">
        <v>12</v>
      </c>
      <c r="D25" s="11">
        <v>10.0</v>
      </c>
      <c r="E25" s="8" t="s">
        <v>312</v>
      </c>
      <c r="F25" s="5">
        <v>46284.712834861115</v>
      </c>
      <c r="G25" s="8">
        <v>1.0</v>
      </c>
      <c r="H25" s="8">
        <v>1.0</v>
      </c>
      <c r="I25" s="8" t="s">
        <v>18</v>
      </c>
      <c r="J25" s="8" t="s">
        <v>319</v>
      </c>
      <c r="K25" s="37" t="s">
        <v>314</v>
      </c>
      <c r="L25" s="8" t="s">
        <v>341</v>
      </c>
    </row>
    <row r="26">
      <c r="A26" s="19" t="s">
        <v>171</v>
      </c>
      <c r="B26" s="8">
        <v>1.0</v>
      </c>
      <c r="C26" s="8" t="s">
        <v>12</v>
      </c>
      <c r="D26" s="11">
        <v>10.0</v>
      </c>
      <c r="E26" s="8" t="s">
        <v>312</v>
      </c>
      <c r="F26" s="5">
        <v>46284.99822349537</v>
      </c>
      <c r="G26" s="8">
        <v>4.0</v>
      </c>
      <c r="H26" s="8">
        <v>2.0</v>
      </c>
      <c r="I26" s="8" t="s">
        <v>18</v>
      </c>
      <c r="J26" s="8" t="s">
        <v>319</v>
      </c>
      <c r="K26" s="37" t="s">
        <v>314</v>
      </c>
      <c r="L26" s="8" t="s">
        <v>344</v>
      </c>
    </row>
    <row r="27">
      <c r="A27" s="19" t="s">
        <v>18</v>
      </c>
      <c r="B27" s="8">
        <v>1.0</v>
      </c>
      <c r="C27" s="8" t="s">
        <v>12</v>
      </c>
      <c r="D27" s="11">
        <v>10.0</v>
      </c>
      <c r="E27" s="8" t="s">
        <v>312</v>
      </c>
      <c r="F27" s="5">
        <v>46284.99974515046</v>
      </c>
      <c r="G27" s="8">
        <v>4.0</v>
      </c>
      <c r="H27" s="8">
        <v>2.0</v>
      </c>
      <c r="I27" s="8" t="s">
        <v>18</v>
      </c>
      <c r="J27" s="8" t="s">
        <v>319</v>
      </c>
      <c r="K27" s="37" t="s">
        <v>314</v>
      </c>
      <c r="L27" s="8" t="s">
        <v>344</v>
      </c>
    </row>
    <row r="28">
      <c r="A28" s="8" t="s">
        <v>182</v>
      </c>
      <c r="B28" s="8">
        <v>1.0</v>
      </c>
      <c r="C28" s="8" t="s">
        <v>12</v>
      </c>
      <c r="D28" s="11">
        <v>10.0</v>
      </c>
      <c r="E28" s="8" t="s">
        <v>312</v>
      </c>
      <c r="F28" s="5">
        <v>46285.004639942126</v>
      </c>
      <c r="G28" s="8">
        <v>4.0</v>
      </c>
      <c r="H28" s="8">
        <v>2.0</v>
      </c>
      <c r="I28" s="8" t="s">
        <v>18</v>
      </c>
      <c r="J28" s="8" t="s">
        <v>319</v>
      </c>
      <c r="K28" s="37" t="s">
        <v>314</v>
      </c>
      <c r="L28" s="8" t="s">
        <v>344</v>
      </c>
    </row>
    <row r="29">
      <c r="A29" s="8" t="s">
        <v>7</v>
      </c>
      <c r="B29" s="8">
        <v>1.0</v>
      </c>
      <c r="C29" s="8" t="s">
        <v>12</v>
      </c>
      <c r="D29" s="11">
        <v>10.0</v>
      </c>
      <c r="E29" s="8" t="s">
        <v>312</v>
      </c>
      <c r="F29" s="5">
        <v>46285.00841734954</v>
      </c>
      <c r="G29" s="8">
        <v>4.0</v>
      </c>
      <c r="H29" s="8">
        <v>2.0</v>
      </c>
      <c r="I29" s="8" t="s">
        <v>18</v>
      </c>
      <c r="J29" s="8" t="s">
        <v>319</v>
      </c>
      <c r="K29" s="37" t="s">
        <v>314</v>
      </c>
      <c r="L29" s="8" t="s">
        <v>344</v>
      </c>
    </row>
    <row r="30">
      <c r="A30" s="8" t="s">
        <v>63</v>
      </c>
      <c r="B30" s="8">
        <v>1.0</v>
      </c>
      <c r="C30" s="8" t="s">
        <v>12</v>
      </c>
      <c r="D30" s="11">
        <v>10.0</v>
      </c>
      <c r="E30" s="8" t="s">
        <v>312</v>
      </c>
      <c r="F30" s="5">
        <v>46285.014013622684</v>
      </c>
      <c r="G30" s="8">
        <v>4.0</v>
      </c>
      <c r="H30" s="8">
        <v>2.0</v>
      </c>
      <c r="I30" s="8" t="s">
        <v>18</v>
      </c>
      <c r="J30" s="8" t="s">
        <v>319</v>
      </c>
      <c r="K30" s="37" t="s">
        <v>314</v>
      </c>
      <c r="L30" s="8" t="s">
        <v>344</v>
      </c>
    </row>
    <row r="31">
      <c r="A31" s="8" t="s">
        <v>54</v>
      </c>
      <c r="B31" s="8">
        <v>1.0</v>
      </c>
      <c r="C31" s="8" t="s">
        <v>12</v>
      </c>
      <c r="D31" s="11">
        <v>10.0</v>
      </c>
      <c r="E31" s="8" t="s">
        <v>312</v>
      </c>
      <c r="F31" s="5">
        <v>46285.02049998843</v>
      </c>
      <c r="G31" s="8">
        <v>4.0</v>
      </c>
      <c r="H31" s="8">
        <v>2.0</v>
      </c>
      <c r="I31" s="8" t="s">
        <v>18</v>
      </c>
      <c r="J31" s="8" t="s">
        <v>319</v>
      </c>
      <c r="K31" s="37" t="s">
        <v>314</v>
      </c>
      <c r="L31" s="8" t="s">
        <v>345</v>
      </c>
    </row>
    <row r="32">
      <c r="A32" s="8" t="s">
        <v>7</v>
      </c>
      <c r="B32" s="8">
        <v>1.0</v>
      </c>
      <c r="C32" s="8" t="s">
        <v>12</v>
      </c>
      <c r="D32" s="11">
        <v>10.0</v>
      </c>
      <c r="E32" s="8" t="s">
        <v>312</v>
      </c>
      <c r="F32" s="5">
        <v>46285.027233368055</v>
      </c>
      <c r="G32" s="8">
        <v>4.0</v>
      </c>
      <c r="H32" s="8">
        <v>2.0</v>
      </c>
      <c r="I32" s="8" t="s">
        <v>18</v>
      </c>
      <c r="J32" s="8" t="s">
        <v>319</v>
      </c>
      <c r="K32" s="37" t="s">
        <v>314</v>
      </c>
      <c r="L32" s="8" t="s">
        <v>345</v>
      </c>
    </row>
    <row r="33">
      <c r="A33" s="8" t="s">
        <v>7</v>
      </c>
      <c r="B33" s="8">
        <v>1.0</v>
      </c>
      <c r="C33" s="8" t="s">
        <v>12</v>
      </c>
      <c r="D33" s="11">
        <v>3.0</v>
      </c>
      <c r="E33" s="8" t="s">
        <v>346</v>
      </c>
      <c r="F33" s="5">
        <v>46285.03489797453</v>
      </c>
      <c r="G33" s="8">
        <v>4.0</v>
      </c>
      <c r="H33" s="8">
        <v>2.0</v>
      </c>
      <c r="I33" s="8" t="s">
        <v>18</v>
      </c>
      <c r="J33" s="8" t="s">
        <v>319</v>
      </c>
      <c r="K33" s="37" t="s">
        <v>347</v>
      </c>
      <c r="L33" s="8" t="s">
        <v>345</v>
      </c>
    </row>
    <row r="34">
      <c r="A34" s="8" t="s">
        <v>7</v>
      </c>
      <c r="B34" s="8">
        <v>1.0</v>
      </c>
      <c r="C34" s="8" t="s">
        <v>12</v>
      </c>
      <c r="D34" s="11">
        <v>6.0</v>
      </c>
      <c r="E34" s="8" t="s">
        <v>312</v>
      </c>
      <c r="F34" s="5">
        <v>46285.367746504635</v>
      </c>
      <c r="G34" s="8">
        <v>4.0</v>
      </c>
      <c r="H34" s="8">
        <v>2.0</v>
      </c>
      <c r="I34" s="8" t="s">
        <v>18</v>
      </c>
      <c r="J34" s="8" t="s">
        <v>319</v>
      </c>
      <c r="K34" s="37" t="s">
        <v>348</v>
      </c>
      <c r="L34" s="8" t="s">
        <v>345</v>
      </c>
    </row>
    <row r="35">
      <c r="A35" s="8" t="s">
        <v>63</v>
      </c>
      <c r="B35" s="8">
        <v>1.0</v>
      </c>
      <c r="C35" s="8" t="s">
        <v>12</v>
      </c>
      <c r="D35" s="11">
        <v>1.0</v>
      </c>
      <c r="E35" s="8" t="s">
        <v>346</v>
      </c>
      <c r="F35" s="5">
        <v>46285.368747002314</v>
      </c>
      <c r="G35" s="8">
        <v>4.0</v>
      </c>
      <c r="H35" s="8">
        <v>2.0</v>
      </c>
      <c r="I35" s="8" t="s">
        <v>18</v>
      </c>
      <c r="J35" s="8" t="s">
        <v>319</v>
      </c>
      <c r="K35" s="37" t="s">
        <v>349</v>
      </c>
      <c r="L35" s="8" t="s">
        <v>345</v>
      </c>
    </row>
    <row r="36">
      <c r="A36" s="8" t="s">
        <v>207</v>
      </c>
      <c r="B36" s="8">
        <v>1.0</v>
      </c>
      <c r="C36" s="8" t="s">
        <v>12</v>
      </c>
      <c r="D36" s="11">
        <v>7.0</v>
      </c>
      <c r="E36" s="8" t="s">
        <v>312</v>
      </c>
      <c r="F36" s="5">
        <v>46285.36920886574</v>
      </c>
      <c r="G36" s="8">
        <v>4.0</v>
      </c>
      <c r="H36" s="8">
        <v>2.0</v>
      </c>
      <c r="I36" s="8" t="s">
        <v>18</v>
      </c>
      <c r="J36" s="8" t="s">
        <v>319</v>
      </c>
      <c r="K36" s="37" t="s">
        <v>350</v>
      </c>
      <c r="L36" s="8" t="s">
        <v>345</v>
      </c>
    </row>
    <row r="37">
      <c r="A37" s="8" t="s">
        <v>49</v>
      </c>
      <c r="B37" s="8">
        <v>1.0</v>
      </c>
      <c r="C37" s="8" t="s">
        <v>12</v>
      </c>
      <c r="D37" s="11">
        <v>10.0</v>
      </c>
      <c r="E37" s="8" t="s">
        <v>312</v>
      </c>
      <c r="F37" s="5">
        <v>46285.36949085648</v>
      </c>
      <c r="G37" s="8">
        <v>4.0</v>
      </c>
      <c r="H37" s="8">
        <v>2.0</v>
      </c>
      <c r="I37" s="8" t="s">
        <v>18</v>
      </c>
      <c r="J37" s="8" t="s">
        <v>319</v>
      </c>
      <c r="K37" s="37" t="s">
        <v>314</v>
      </c>
      <c r="L37" s="8" t="s">
        <v>345</v>
      </c>
    </row>
    <row r="38">
      <c r="A38" s="8" t="s">
        <v>18</v>
      </c>
      <c r="B38" s="8">
        <v>1.0</v>
      </c>
      <c r="C38" s="8" t="s">
        <v>12</v>
      </c>
      <c r="D38" s="11">
        <v>10.0</v>
      </c>
      <c r="E38" s="8" t="s">
        <v>312</v>
      </c>
      <c r="F38" s="5">
        <v>46285.37987899306</v>
      </c>
      <c r="G38" s="8">
        <v>4.0</v>
      </c>
      <c r="H38" s="8">
        <v>2.0</v>
      </c>
      <c r="I38" s="8" t="s">
        <v>18</v>
      </c>
      <c r="J38" s="8" t="s">
        <v>319</v>
      </c>
      <c r="K38" s="37" t="s">
        <v>314</v>
      </c>
      <c r="L38" s="8" t="s">
        <v>345</v>
      </c>
    </row>
    <row r="39">
      <c r="A39" s="8" t="s">
        <v>18</v>
      </c>
      <c r="B39" s="8">
        <v>1.0</v>
      </c>
      <c r="C39" s="8" t="s">
        <v>12</v>
      </c>
      <c r="D39" s="11">
        <v>5.0</v>
      </c>
      <c r="E39" s="8" t="s">
        <v>346</v>
      </c>
      <c r="F39" s="5">
        <v>46285.384032766204</v>
      </c>
      <c r="G39" s="8">
        <v>4.0</v>
      </c>
      <c r="H39" s="8">
        <v>2.0</v>
      </c>
      <c r="I39" s="8" t="s">
        <v>18</v>
      </c>
      <c r="J39" s="8" t="s">
        <v>351</v>
      </c>
      <c r="K39" s="37" t="s">
        <v>352</v>
      </c>
      <c r="L39" s="8" t="s">
        <v>353</v>
      </c>
    </row>
    <row r="40">
      <c r="A40" s="8" t="s">
        <v>18</v>
      </c>
      <c r="B40" s="8">
        <v>1.0</v>
      </c>
      <c r="C40" s="8" t="s">
        <v>12</v>
      </c>
      <c r="D40" s="11">
        <v>2.0</v>
      </c>
      <c r="E40" s="8" t="s">
        <v>346</v>
      </c>
      <c r="F40" s="5">
        <v>46285.390687453706</v>
      </c>
      <c r="G40" s="8">
        <v>4.0</v>
      </c>
      <c r="H40" s="8">
        <v>2.0</v>
      </c>
      <c r="I40" s="8" t="s">
        <v>18</v>
      </c>
      <c r="J40" s="8" t="s">
        <v>319</v>
      </c>
      <c r="K40" s="37" t="s">
        <v>354</v>
      </c>
      <c r="L40" s="8" t="s">
        <v>355</v>
      </c>
    </row>
    <row r="41">
      <c r="A41" s="8" t="s">
        <v>164</v>
      </c>
      <c r="B41" s="8">
        <v>1.0</v>
      </c>
      <c r="C41" s="8" t="s">
        <v>12</v>
      </c>
      <c r="D41" s="11">
        <v>1.0</v>
      </c>
      <c r="E41" s="8" t="s">
        <v>346</v>
      </c>
      <c r="F41" s="5">
        <v>46285.55653458333</v>
      </c>
      <c r="G41" s="8">
        <v>4.0</v>
      </c>
      <c r="H41" s="8">
        <v>2.0</v>
      </c>
      <c r="I41" s="8" t="s">
        <v>18</v>
      </c>
      <c r="J41" s="8" t="s">
        <v>319</v>
      </c>
      <c r="K41" s="37" t="s">
        <v>356</v>
      </c>
      <c r="L41" s="8" t="s">
        <v>355</v>
      </c>
    </row>
    <row r="42">
      <c r="A42" s="8" t="s">
        <v>49</v>
      </c>
      <c r="B42" s="8">
        <v>1.0</v>
      </c>
      <c r="C42" s="8" t="s">
        <v>12</v>
      </c>
      <c r="D42" s="11">
        <v>1.0</v>
      </c>
      <c r="E42" s="8" t="s">
        <v>346</v>
      </c>
      <c r="F42" s="5">
        <v>46285.71928225695</v>
      </c>
      <c r="G42" s="8">
        <v>4.0</v>
      </c>
      <c r="H42" s="8">
        <v>2.0</v>
      </c>
      <c r="I42" s="8" t="s">
        <v>18</v>
      </c>
      <c r="J42" s="8" t="s">
        <v>319</v>
      </c>
      <c r="K42" s="37" t="s">
        <v>357</v>
      </c>
      <c r="L42" s="8" t="s">
        <v>355</v>
      </c>
    </row>
    <row r="43">
      <c r="A43" s="8" t="s">
        <v>18</v>
      </c>
      <c r="B43" s="8">
        <v>1.0</v>
      </c>
      <c r="C43" s="8" t="s">
        <v>12</v>
      </c>
      <c r="D43" s="11">
        <v>1.0</v>
      </c>
      <c r="E43" s="8" t="s">
        <v>346</v>
      </c>
      <c r="F43" s="5">
        <v>46285.721139166664</v>
      </c>
      <c r="G43" s="8">
        <v>4.0</v>
      </c>
      <c r="H43" s="8">
        <v>2.0</v>
      </c>
      <c r="I43" s="8" t="s">
        <v>18</v>
      </c>
      <c r="J43" s="8" t="s">
        <v>358</v>
      </c>
      <c r="K43" s="37" t="s">
        <v>359</v>
      </c>
      <c r="L43" s="8" t="s">
        <v>355</v>
      </c>
    </row>
    <row r="44">
      <c r="A44" s="8" t="s">
        <v>49</v>
      </c>
      <c r="B44" s="8">
        <v>1.0</v>
      </c>
      <c r="C44" s="8" t="s">
        <v>12</v>
      </c>
      <c r="D44" s="11">
        <v>1.0</v>
      </c>
      <c r="E44" s="8" t="s">
        <v>346</v>
      </c>
      <c r="F44" s="5">
        <v>46285.72922550926</v>
      </c>
      <c r="G44" s="8">
        <v>4.0</v>
      </c>
      <c r="H44" s="8">
        <v>2.0</v>
      </c>
      <c r="I44" s="8" t="s">
        <v>18</v>
      </c>
      <c r="J44" s="8" t="s">
        <v>319</v>
      </c>
      <c r="K44" s="37" t="s">
        <v>360</v>
      </c>
      <c r="L44" s="8" t="s">
        <v>361</v>
      </c>
    </row>
    <row r="45">
      <c r="A45" s="8" t="s">
        <v>49</v>
      </c>
      <c r="B45" s="8">
        <v>1.0</v>
      </c>
      <c r="C45" s="8" t="s">
        <v>12</v>
      </c>
      <c r="D45" s="11">
        <v>7.0</v>
      </c>
      <c r="E45" s="8" t="s">
        <v>312</v>
      </c>
      <c r="F45" s="5">
        <v>46285.73075368056</v>
      </c>
      <c r="G45" s="8">
        <v>4.0</v>
      </c>
      <c r="H45" s="8">
        <v>2.0</v>
      </c>
      <c r="I45" s="8" t="s">
        <v>18</v>
      </c>
      <c r="J45" s="8" t="s">
        <v>319</v>
      </c>
      <c r="K45" s="37" t="s">
        <v>362</v>
      </c>
      <c r="L45" s="8" t="s">
        <v>361</v>
      </c>
    </row>
    <row r="46">
      <c r="A46" s="8" t="s">
        <v>253</v>
      </c>
      <c r="B46" s="8">
        <v>1.0</v>
      </c>
      <c r="C46" s="8" t="s">
        <v>12</v>
      </c>
      <c r="D46" s="11">
        <v>2.0</v>
      </c>
      <c r="E46" s="8" t="s">
        <v>346</v>
      </c>
      <c r="F46" s="5">
        <v>46285.73754777778</v>
      </c>
      <c r="G46" s="8">
        <v>4.0</v>
      </c>
      <c r="H46" s="8">
        <v>2.0</v>
      </c>
      <c r="I46" s="8" t="s">
        <v>18</v>
      </c>
      <c r="J46" s="8" t="s">
        <v>319</v>
      </c>
      <c r="K46" s="37" t="s">
        <v>363</v>
      </c>
      <c r="L46" s="8" t="s">
        <v>361</v>
      </c>
    </row>
    <row r="47">
      <c r="A47" s="8" t="s">
        <v>253</v>
      </c>
      <c r="B47" s="8">
        <v>1.0</v>
      </c>
      <c r="C47" s="8" t="s">
        <v>12</v>
      </c>
      <c r="D47" s="11">
        <v>3.0</v>
      </c>
      <c r="E47" s="8" t="s">
        <v>346</v>
      </c>
      <c r="F47" s="5">
        <v>46285.738078194445</v>
      </c>
      <c r="G47" s="8">
        <v>4.0</v>
      </c>
      <c r="H47" s="8">
        <v>2.0</v>
      </c>
      <c r="I47" s="8" t="s">
        <v>18</v>
      </c>
      <c r="J47" s="8" t="s">
        <v>319</v>
      </c>
      <c r="K47" s="37" t="s">
        <v>364</v>
      </c>
      <c r="L47" s="8" t="s">
        <v>361</v>
      </c>
    </row>
    <row r="48">
      <c r="A48" s="8" t="s">
        <v>18</v>
      </c>
      <c r="B48" s="8">
        <v>1.0</v>
      </c>
      <c r="C48" s="8" t="s">
        <v>12</v>
      </c>
      <c r="D48" s="11">
        <v>1.0</v>
      </c>
      <c r="E48" s="8" t="s">
        <v>346</v>
      </c>
      <c r="F48" s="5">
        <v>46285.74794569444</v>
      </c>
      <c r="G48" s="8">
        <v>4.0</v>
      </c>
      <c r="H48" s="8">
        <v>2.0</v>
      </c>
      <c r="I48" s="8" t="s">
        <v>18</v>
      </c>
      <c r="J48" s="8" t="s">
        <v>365</v>
      </c>
      <c r="K48" s="37" t="s">
        <v>366</v>
      </c>
      <c r="L48" s="8" t="s">
        <v>367</v>
      </c>
    </row>
    <row r="49">
      <c r="A49" s="8" t="s">
        <v>49</v>
      </c>
      <c r="B49" s="8">
        <v>1.0</v>
      </c>
      <c r="C49" s="8" t="s">
        <v>12</v>
      </c>
      <c r="D49" s="11">
        <v>1.0</v>
      </c>
      <c r="E49" s="8" t="s">
        <v>346</v>
      </c>
      <c r="F49" s="5">
        <v>46286.45570659722</v>
      </c>
      <c r="G49" s="8">
        <v>4.0</v>
      </c>
      <c r="H49" s="8">
        <v>2.0</v>
      </c>
      <c r="I49" s="8" t="s">
        <v>18</v>
      </c>
      <c r="J49" s="8" t="s">
        <v>368</v>
      </c>
      <c r="K49" s="37" t="s">
        <v>369</v>
      </c>
      <c r="L49" s="8" t="s">
        <v>370</v>
      </c>
    </row>
    <row r="50">
      <c r="A50" s="8" t="s">
        <v>49</v>
      </c>
      <c r="B50" s="8">
        <v>1.0</v>
      </c>
      <c r="C50" s="8" t="s">
        <v>12</v>
      </c>
      <c r="D50" s="11">
        <v>1.0</v>
      </c>
      <c r="E50" s="8" t="s">
        <v>346</v>
      </c>
      <c r="F50" s="5">
        <v>46286.4653777662</v>
      </c>
      <c r="G50" s="8">
        <v>4.0</v>
      </c>
      <c r="H50" s="8">
        <v>2.0</v>
      </c>
      <c r="I50" s="8" t="s">
        <v>18</v>
      </c>
      <c r="J50" s="8" t="s">
        <v>319</v>
      </c>
      <c r="K50" s="37" t="s">
        <v>371</v>
      </c>
      <c r="L50" s="8" t="s">
        <v>372</v>
      </c>
    </row>
    <row r="51">
      <c r="A51" s="8" t="s">
        <v>49</v>
      </c>
      <c r="B51" s="8">
        <v>1.0</v>
      </c>
      <c r="C51" s="8" t="s">
        <v>12</v>
      </c>
      <c r="D51" s="11">
        <v>1.0</v>
      </c>
      <c r="E51" s="8" t="s">
        <v>346</v>
      </c>
      <c r="F51" s="5">
        <v>46286.46649762732</v>
      </c>
      <c r="G51" s="8">
        <v>4.0</v>
      </c>
      <c r="H51" s="8">
        <v>2.0</v>
      </c>
      <c r="I51" s="8" t="s">
        <v>18</v>
      </c>
      <c r="J51" s="8" t="s">
        <v>373</v>
      </c>
      <c r="K51" s="37" t="s">
        <v>374</v>
      </c>
      <c r="L51" s="8" t="s">
        <v>367</v>
      </c>
    </row>
    <row r="52">
      <c r="A52" s="8" t="s">
        <v>18</v>
      </c>
      <c r="B52" s="8">
        <v>1.0</v>
      </c>
      <c r="C52" s="8" t="s">
        <v>12</v>
      </c>
      <c r="D52" s="11">
        <v>1.0</v>
      </c>
      <c r="E52" s="8" t="s">
        <v>346</v>
      </c>
      <c r="F52" s="5">
        <v>46286.477622453705</v>
      </c>
      <c r="G52" s="8">
        <v>4.0</v>
      </c>
      <c r="H52" s="8">
        <v>2.0</v>
      </c>
      <c r="I52" s="8" t="s">
        <v>18</v>
      </c>
      <c r="J52" s="8" t="s">
        <v>375</v>
      </c>
      <c r="K52" s="37" t="s">
        <v>376</v>
      </c>
      <c r="L52" s="8" t="s">
        <v>377</v>
      </c>
    </row>
    <row r="53">
      <c r="A53" s="8" t="s">
        <v>7</v>
      </c>
      <c r="B53" s="8">
        <v>1.0</v>
      </c>
      <c r="C53" s="8" t="s">
        <v>12</v>
      </c>
      <c r="D53" s="11">
        <v>1.0</v>
      </c>
      <c r="E53" s="8" t="s">
        <v>346</v>
      </c>
      <c r="F53" s="5">
        <v>46287.387632812504</v>
      </c>
      <c r="G53" s="8">
        <v>4.0</v>
      </c>
      <c r="H53" s="8">
        <v>2.0</v>
      </c>
      <c r="I53" s="8" t="s">
        <v>18</v>
      </c>
      <c r="J53" s="8" t="s">
        <v>378</v>
      </c>
      <c r="K53" s="37" t="s">
        <v>379</v>
      </c>
      <c r="L53" s="8" t="s">
        <v>380</v>
      </c>
    </row>
    <row r="54">
      <c r="A54" s="8" t="s">
        <v>18</v>
      </c>
      <c r="B54" s="8">
        <v>1.0</v>
      </c>
      <c r="C54" s="8" t="s">
        <v>12</v>
      </c>
      <c r="D54" s="11">
        <v>1.0</v>
      </c>
      <c r="E54" s="8" t="s">
        <v>346</v>
      </c>
      <c r="F54" s="5">
        <v>46287.63118336805</v>
      </c>
      <c r="G54" s="8">
        <v>4.0</v>
      </c>
      <c r="H54" s="8">
        <v>2.0</v>
      </c>
      <c r="I54" s="8" t="s">
        <v>18</v>
      </c>
      <c r="J54" s="8" t="s">
        <v>319</v>
      </c>
      <c r="K54" s="37" t="s">
        <v>381</v>
      </c>
      <c r="L54" s="8" t="s">
        <v>382</v>
      </c>
    </row>
    <row r="55">
      <c r="A55" s="8" t="s">
        <v>18</v>
      </c>
      <c r="B55" s="8">
        <v>1.0</v>
      </c>
      <c r="C55" s="8" t="s">
        <v>12</v>
      </c>
      <c r="D55" s="11">
        <v>2.0</v>
      </c>
      <c r="E55" s="8" t="s">
        <v>346</v>
      </c>
      <c r="F55" s="5">
        <v>46287.631469201384</v>
      </c>
      <c r="G55" s="8">
        <v>4.0</v>
      </c>
      <c r="H55" s="8">
        <v>2.0</v>
      </c>
      <c r="I55" s="8" t="s">
        <v>18</v>
      </c>
      <c r="J55" s="8" t="s">
        <v>383</v>
      </c>
      <c r="K55" s="37" t="s">
        <v>384</v>
      </c>
      <c r="L55" s="8" t="s">
        <v>367</v>
      </c>
    </row>
    <row r="56">
      <c r="A56" s="8" t="s">
        <v>269</v>
      </c>
      <c r="B56" s="8">
        <v>1.0</v>
      </c>
      <c r="C56" s="8" t="s">
        <v>12</v>
      </c>
      <c r="D56" s="11">
        <v>3.0</v>
      </c>
      <c r="E56" s="8" t="s">
        <v>346</v>
      </c>
      <c r="F56" s="5">
        <v>46287.63155121528</v>
      </c>
      <c r="G56" s="8">
        <v>4.0</v>
      </c>
      <c r="H56" s="8">
        <v>2.0</v>
      </c>
      <c r="I56" s="8" t="s">
        <v>18</v>
      </c>
      <c r="J56" s="8" t="s">
        <v>385</v>
      </c>
      <c r="K56" s="37" t="s">
        <v>386</v>
      </c>
      <c r="L56" s="8" t="s">
        <v>387</v>
      </c>
    </row>
    <row r="57">
      <c r="A57" s="8" t="s">
        <v>271</v>
      </c>
      <c r="B57" s="8">
        <v>1.0</v>
      </c>
      <c r="C57" s="8" t="s">
        <v>12</v>
      </c>
      <c r="D57" s="11">
        <v>1.0</v>
      </c>
      <c r="E57" s="8" t="s">
        <v>346</v>
      </c>
      <c r="F57" s="5">
        <v>46287.63167618055</v>
      </c>
      <c r="G57" s="8">
        <v>4.0</v>
      </c>
      <c r="H57" s="8">
        <v>2.0</v>
      </c>
      <c r="I57" s="8" t="s">
        <v>18</v>
      </c>
      <c r="J57" s="8" t="s">
        <v>388</v>
      </c>
      <c r="K57" s="37" t="s">
        <v>389</v>
      </c>
      <c r="L57" s="8" t="s">
        <v>390</v>
      </c>
    </row>
    <row r="58">
      <c r="A58" s="8" t="s">
        <v>93</v>
      </c>
      <c r="B58" s="8">
        <v>1.0</v>
      </c>
      <c r="C58" s="8" t="s">
        <v>12</v>
      </c>
      <c r="D58" s="11">
        <v>1.0</v>
      </c>
      <c r="E58" s="8" t="s">
        <v>346</v>
      </c>
      <c r="F58" s="5">
        <v>46287.63169033565</v>
      </c>
      <c r="G58" s="8">
        <v>4.0</v>
      </c>
      <c r="H58" s="8">
        <v>2.0</v>
      </c>
      <c r="I58" s="8" t="s">
        <v>18</v>
      </c>
      <c r="J58" s="8" t="s">
        <v>319</v>
      </c>
      <c r="K58" s="37" t="s">
        <v>391</v>
      </c>
      <c r="L58" s="8" t="s">
        <v>382</v>
      </c>
    </row>
    <row r="59">
      <c r="A59" s="8" t="s">
        <v>275</v>
      </c>
      <c r="B59" s="8">
        <v>1.0</v>
      </c>
      <c r="C59" s="8" t="s">
        <v>12</v>
      </c>
      <c r="D59" s="11">
        <v>2.0</v>
      </c>
      <c r="E59" s="8" t="s">
        <v>346</v>
      </c>
      <c r="F59" s="5">
        <v>46287.631878182874</v>
      </c>
      <c r="G59" s="8">
        <v>4.0</v>
      </c>
      <c r="H59" s="8">
        <v>2.0</v>
      </c>
      <c r="I59" s="8" t="s">
        <v>18</v>
      </c>
      <c r="J59" s="8" t="s">
        <v>392</v>
      </c>
      <c r="K59" s="37" t="s">
        <v>393</v>
      </c>
      <c r="L59" s="8" t="s">
        <v>367</v>
      </c>
    </row>
    <row r="60">
      <c r="A60" s="8" t="s">
        <v>276</v>
      </c>
      <c r="B60" s="8">
        <v>1.0</v>
      </c>
      <c r="C60" s="8" t="s">
        <v>12</v>
      </c>
      <c r="D60" s="11">
        <v>2.0</v>
      </c>
      <c r="E60" s="8" t="s">
        <v>346</v>
      </c>
      <c r="F60" s="5">
        <v>46287.6320087037</v>
      </c>
      <c r="G60" s="8">
        <v>4.0</v>
      </c>
      <c r="H60" s="8">
        <v>2.0</v>
      </c>
      <c r="I60" s="8" t="s">
        <v>18</v>
      </c>
      <c r="J60" s="8" t="s">
        <v>319</v>
      </c>
      <c r="K60" s="37" t="s">
        <v>394</v>
      </c>
      <c r="L60" s="8" t="s">
        <v>395</v>
      </c>
    </row>
    <row r="61">
      <c r="A61" s="8" t="s">
        <v>127</v>
      </c>
      <c r="B61" s="8">
        <v>1.0</v>
      </c>
      <c r="C61" s="8" t="s">
        <v>12</v>
      </c>
      <c r="D61" s="11">
        <v>2.0</v>
      </c>
      <c r="E61" s="8" t="s">
        <v>346</v>
      </c>
      <c r="F61" s="5">
        <v>46287.63201804398</v>
      </c>
      <c r="G61" s="8">
        <v>4.0</v>
      </c>
      <c r="H61" s="8">
        <v>2.0</v>
      </c>
      <c r="I61" s="8" t="s">
        <v>18</v>
      </c>
      <c r="J61" s="8" t="s">
        <v>396</v>
      </c>
      <c r="K61" s="37" t="s">
        <v>397</v>
      </c>
      <c r="L61" s="8" t="s">
        <v>367</v>
      </c>
    </row>
    <row r="62">
      <c r="A62" s="8" t="s">
        <v>269</v>
      </c>
      <c r="B62" s="8">
        <v>1.0</v>
      </c>
      <c r="C62" s="8" t="s">
        <v>12</v>
      </c>
      <c r="D62" s="11">
        <v>1.0</v>
      </c>
      <c r="E62" s="8" t="s">
        <v>346</v>
      </c>
      <c r="F62" s="5">
        <v>46287.632314884264</v>
      </c>
      <c r="G62" s="8">
        <v>4.0</v>
      </c>
      <c r="H62" s="8">
        <v>2.0</v>
      </c>
      <c r="I62" s="8" t="s">
        <v>18</v>
      </c>
      <c r="J62" s="8" t="s">
        <v>398</v>
      </c>
      <c r="K62" s="37" t="s">
        <v>399</v>
      </c>
      <c r="L62" s="8" t="s">
        <v>400</v>
      </c>
    </row>
    <row r="63">
      <c r="A63" s="8" t="s">
        <v>269</v>
      </c>
      <c r="B63" s="8">
        <v>1.0</v>
      </c>
      <c r="C63" s="8" t="s">
        <v>12</v>
      </c>
      <c r="D63" s="11">
        <v>1.0</v>
      </c>
      <c r="E63" s="8" t="s">
        <v>346</v>
      </c>
      <c r="F63" s="5">
        <v>46287.632403483796</v>
      </c>
      <c r="G63" s="8">
        <v>4.0</v>
      </c>
      <c r="H63" s="8">
        <v>2.0</v>
      </c>
      <c r="I63" s="8" t="s">
        <v>18</v>
      </c>
      <c r="J63" s="8" t="s">
        <v>401</v>
      </c>
      <c r="K63" s="37" t="s">
        <v>402</v>
      </c>
      <c r="L63" s="8" t="s">
        <v>403</v>
      </c>
    </row>
    <row r="64">
      <c r="A64" s="8" t="s">
        <v>280</v>
      </c>
      <c r="B64" s="8">
        <v>1.0</v>
      </c>
      <c r="C64" s="8" t="s">
        <v>12</v>
      </c>
      <c r="D64" s="11">
        <v>1.0</v>
      </c>
      <c r="E64" s="8" t="s">
        <v>346</v>
      </c>
      <c r="F64" s="5">
        <v>46287.632438726854</v>
      </c>
      <c r="G64" s="8">
        <v>4.0</v>
      </c>
      <c r="H64" s="8">
        <v>2.0</v>
      </c>
      <c r="I64" s="8" t="s">
        <v>18</v>
      </c>
      <c r="J64" s="8" t="s">
        <v>404</v>
      </c>
      <c r="K64" s="37" t="s">
        <v>405</v>
      </c>
      <c r="L64" s="8" t="s">
        <v>367</v>
      </c>
    </row>
    <row r="65">
      <c r="A65" s="8" t="s">
        <v>171</v>
      </c>
      <c r="B65" s="8">
        <v>1.0</v>
      </c>
      <c r="C65" s="8" t="s">
        <v>12</v>
      </c>
      <c r="D65" s="11">
        <v>3.0</v>
      </c>
      <c r="E65" s="8" t="s">
        <v>346</v>
      </c>
      <c r="F65" s="5">
        <v>46287.63250314815</v>
      </c>
      <c r="G65" s="8">
        <v>4.0</v>
      </c>
      <c r="H65" s="8">
        <v>2.0</v>
      </c>
      <c r="I65" s="8" t="s">
        <v>18</v>
      </c>
      <c r="J65" s="8" t="s">
        <v>406</v>
      </c>
      <c r="K65" s="37" t="s">
        <v>407</v>
      </c>
      <c r="L65" s="8" t="s">
        <v>408</v>
      </c>
    </row>
    <row r="66">
      <c r="A66" s="8" t="s">
        <v>88</v>
      </c>
      <c r="B66" s="8">
        <v>1.0</v>
      </c>
      <c r="C66" s="8" t="s">
        <v>12</v>
      </c>
      <c r="D66" s="11">
        <v>1.0</v>
      </c>
      <c r="E66" s="8" t="s">
        <v>346</v>
      </c>
      <c r="F66" s="5">
        <v>46287.63250535879</v>
      </c>
      <c r="G66" s="8">
        <v>4.0</v>
      </c>
      <c r="H66" s="8">
        <v>2.0</v>
      </c>
      <c r="I66" s="8" t="s">
        <v>18</v>
      </c>
      <c r="J66" s="8" t="s">
        <v>409</v>
      </c>
      <c r="K66" s="37" t="s">
        <v>410</v>
      </c>
      <c r="L66" s="8" t="s">
        <v>411</v>
      </c>
    </row>
    <row r="67">
      <c r="A67" s="8" t="s">
        <v>49</v>
      </c>
      <c r="B67" s="8">
        <v>1.0</v>
      </c>
      <c r="C67" s="8" t="s">
        <v>12</v>
      </c>
      <c r="D67" s="11">
        <v>1.0</v>
      </c>
      <c r="E67" s="8" t="s">
        <v>346</v>
      </c>
      <c r="F67" s="5">
        <v>46287.63255995371</v>
      </c>
      <c r="G67" s="8">
        <v>4.0</v>
      </c>
      <c r="H67" s="8">
        <v>2.0</v>
      </c>
      <c r="I67" s="8" t="s">
        <v>18</v>
      </c>
      <c r="J67" s="8" t="s">
        <v>412</v>
      </c>
      <c r="K67" s="37" t="s">
        <v>413</v>
      </c>
      <c r="L67" s="8" t="s">
        <v>414</v>
      </c>
    </row>
    <row r="68">
      <c r="A68" s="8" t="s">
        <v>286</v>
      </c>
      <c r="B68" s="8">
        <v>1.0</v>
      </c>
      <c r="C68" s="8" t="s">
        <v>12</v>
      </c>
      <c r="D68" s="11">
        <v>1.0</v>
      </c>
      <c r="E68" s="8" t="s">
        <v>346</v>
      </c>
      <c r="F68" s="5">
        <v>46287.632620833334</v>
      </c>
      <c r="G68" s="8">
        <v>4.0</v>
      </c>
      <c r="H68" s="8">
        <v>2.0</v>
      </c>
      <c r="I68" s="8" t="s">
        <v>18</v>
      </c>
      <c r="J68" s="8" t="s">
        <v>319</v>
      </c>
      <c r="K68" s="37" t="s">
        <v>415</v>
      </c>
      <c r="L68" s="8" t="s">
        <v>416</v>
      </c>
    </row>
    <row r="69">
      <c r="A69" s="8" t="s">
        <v>7</v>
      </c>
      <c r="B69" s="8">
        <v>1.0</v>
      </c>
      <c r="C69" s="8" t="s">
        <v>12</v>
      </c>
      <c r="D69" s="11">
        <v>1.0</v>
      </c>
      <c r="E69" s="8" t="s">
        <v>346</v>
      </c>
      <c r="F69" s="5">
        <v>46287.63262824074</v>
      </c>
      <c r="G69" s="8">
        <v>4.0</v>
      </c>
      <c r="H69" s="8">
        <v>2.0</v>
      </c>
      <c r="I69" s="8" t="s">
        <v>18</v>
      </c>
      <c r="J69" s="8" t="s">
        <v>417</v>
      </c>
      <c r="K69" s="37" t="s">
        <v>418</v>
      </c>
      <c r="L69" s="8" t="s">
        <v>419</v>
      </c>
    </row>
    <row r="70">
      <c r="A70" s="8" t="s">
        <v>18</v>
      </c>
      <c r="B70" s="8">
        <v>1.0</v>
      </c>
      <c r="C70" s="8" t="s">
        <v>12</v>
      </c>
      <c r="D70" s="11">
        <v>1.0</v>
      </c>
      <c r="E70" s="8" t="s">
        <v>346</v>
      </c>
      <c r="F70" s="5">
        <v>46287.63277707176</v>
      </c>
      <c r="G70" s="8">
        <v>4.0</v>
      </c>
      <c r="H70" s="8">
        <v>2.0</v>
      </c>
      <c r="I70" s="8" t="s">
        <v>18</v>
      </c>
      <c r="J70" s="8" t="s">
        <v>420</v>
      </c>
      <c r="K70" s="37" t="s">
        <v>421</v>
      </c>
      <c r="L70" s="8" t="s">
        <v>422</v>
      </c>
    </row>
    <row r="71">
      <c r="A71" s="8" t="s">
        <v>18</v>
      </c>
      <c r="B71" s="8">
        <v>1.0</v>
      </c>
      <c r="C71" s="8" t="s">
        <v>12</v>
      </c>
      <c r="D71" s="11">
        <v>1.0</v>
      </c>
      <c r="E71" s="8" t="s">
        <v>346</v>
      </c>
      <c r="F71" s="5">
        <v>46287.632910625005</v>
      </c>
      <c r="G71" s="8">
        <v>4.0</v>
      </c>
      <c r="H71" s="8">
        <v>2.0</v>
      </c>
      <c r="I71" s="8" t="s">
        <v>18</v>
      </c>
      <c r="J71" s="8" t="s">
        <v>423</v>
      </c>
      <c r="K71" s="37" t="s">
        <v>424</v>
      </c>
      <c r="L71" s="8" t="s">
        <v>367</v>
      </c>
    </row>
    <row r="72">
      <c r="A72" s="8" t="s">
        <v>171</v>
      </c>
      <c r="B72" s="8">
        <v>1.0</v>
      </c>
      <c r="C72" s="8" t="s">
        <v>12</v>
      </c>
      <c r="D72" s="11">
        <v>3.0</v>
      </c>
      <c r="E72" s="8" t="s">
        <v>346</v>
      </c>
      <c r="F72" s="5">
        <v>46287.637682754634</v>
      </c>
      <c r="G72" s="8">
        <v>4.0</v>
      </c>
      <c r="H72" s="8">
        <v>2.0</v>
      </c>
      <c r="I72" s="8" t="s">
        <v>18</v>
      </c>
      <c r="J72" s="8" t="s">
        <v>425</v>
      </c>
      <c r="K72" s="37" t="s">
        <v>426</v>
      </c>
      <c r="L72" s="8" t="s">
        <v>427</v>
      </c>
    </row>
    <row r="73">
      <c r="A73" s="8" t="s">
        <v>295</v>
      </c>
      <c r="B73" s="8">
        <v>1.0</v>
      </c>
      <c r="C73" s="8" t="s">
        <v>12</v>
      </c>
      <c r="D73" s="11">
        <v>2.0</v>
      </c>
      <c r="E73" s="8" t="s">
        <v>346</v>
      </c>
      <c r="F73" s="5">
        <v>46287.64120061343</v>
      </c>
      <c r="G73" s="8">
        <v>4.0</v>
      </c>
      <c r="H73" s="8">
        <v>2.0</v>
      </c>
      <c r="I73" s="8" t="s">
        <v>18</v>
      </c>
      <c r="J73" s="8" t="s">
        <v>428</v>
      </c>
      <c r="K73" s="37" t="s">
        <v>429</v>
      </c>
      <c r="L73" s="8" t="s">
        <v>367</v>
      </c>
    </row>
    <row r="74">
      <c r="A74" s="8" t="s">
        <v>296</v>
      </c>
      <c r="B74" s="8">
        <v>1.0</v>
      </c>
      <c r="C74" s="8" t="s">
        <v>12</v>
      </c>
      <c r="D74" s="11">
        <v>1.0</v>
      </c>
      <c r="E74" s="8" t="s">
        <v>346</v>
      </c>
      <c r="F74" s="5">
        <v>46287.681240335645</v>
      </c>
      <c r="G74" s="8">
        <v>4.0</v>
      </c>
      <c r="H74" s="8">
        <v>2.0</v>
      </c>
      <c r="I74" s="8" t="s">
        <v>18</v>
      </c>
      <c r="J74" s="8" t="s">
        <v>319</v>
      </c>
      <c r="K74" s="37" t="s">
        <v>430</v>
      </c>
      <c r="L74" s="8" t="s">
        <v>367</v>
      </c>
    </row>
    <row r="75">
      <c r="A75" s="8" t="s">
        <v>7</v>
      </c>
      <c r="B75" s="8">
        <v>1.0</v>
      </c>
      <c r="C75" s="8" t="s">
        <v>12</v>
      </c>
      <c r="D75" s="11">
        <v>1.0</v>
      </c>
      <c r="E75" s="8" t="s">
        <v>346</v>
      </c>
      <c r="F75" s="5">
        <v>46287.68282785879</v>
      </c>
      <c r="G75" s="8">
        <v>4.0</v>
      </c>
      <c r="H75" s="8">
        <v>2.0</v>
      </c>
      <c r="I75" s="8" t="s">
        <v>18</v>
      </c>
      <c r="J75" s="8" t="s">
        <v>319</v>
      </c>
      <c r="K75" s="37" t="s">
        <v>431</v>
      </c>
      <c r="L75" s="8" t="s">
        <v>432</v>
      </c>
    </row>
    <row r="76">
      <c r="A76" s="8" t="s">
        <v>271</v>
      </c>
      <c r="B76" s="8">
        <v>1.0</v>
      </c>
      <c r="C76" s="8" t="s">
        <v>12</v>
      </c>
      <c r="D76" s="11">
        <v>3.0</v>
      </c>
      <c r="E76" s="8" t="s">
        <v>346</v>
      </c>
      <c r="F76" s="5">
        <v>46287.682937488426</v>
      </c>
      <c r="G76" s="8">
        <v>4.0</v>
      </c>
      <c r="H76" s="8">
        <v>2.0</v>
      </c>
      <c r="I76" s="8" t="s">
        <v>18</v>
      </c>
      <c r="J76" s="8" t="s">
        <v>433</v>
      </c>
      <c r="K76" s="37" t="s">
        <v>434</v>
      </c>
      <c r="L76" s="8" t="s">
        <v>435</v>
      </c>
    </row>
    <row r="77">
      <c r="A77" s="8" t="s">
        <v>207</v>
      </c>
      <c r="B77" s="8">
        <v>1.0</v>
      </c>
      <c r="C77" s="8" t="s">
        <v>12</v>
      </c>
      <c r="D77" s="11">
        <v>1.0</v>
      </c>
      <c r="E77" s="8" t="s">
        <v>346</v>
      </c>
      <c r="F77" s="5">
        <v>46287.683008437496</v>
      </c>
      <c r="G77" s="8">
        <v>4.0</v>
      </c>
      <c r="H77" s="8">
        <v>2.0</v>
      </c>
      <c r="I77" s="8" t="s">
        <v>18</v>
      </c>
      <c r="J77" s="8" t="s">
        <v>436</v>
      </c>
      <c r="K77" s="37" t="s">
        <v>437</v>
      </c>
      <c r="L77" s="8" t="s">
        <v>438</v>
      </c>
    </row>
    <row r="78">
      <c r="A78" s="8" t="s">
        <v>88</v>
      </c>
      <c r="B78" s="8">
        <v>1.0</v>
      </c>
      <c r="C78" s="8" t="s">
        <v>12</v>
      </c>
      <c r="D78" s="11">
        <v>1.0</v>
      </c>
      <c r="E78" s="8" t="s">
        <v>346</v>
      </c>
      <c r="F78" s="5">
        <v>46287.6839275463</v>
      </c>
      <c r="G78" s="8">
        <v>4.0</v>
      </c>
      <c r="H78" s="8">
        <v>2.0</v>
      </c>
      <c r="I78" s="8" t="s">
        <v>18</v>
      </c>
      <c r="J78" s="8" t="s">
        <v>439</v>
      </c>
      <c r="K78" s="37" t="s">
        <v>440</v>
      </c>
      <c r="L78" s="8" t="s">
        <v>441</v>
      </c>
    </row>
    <row r="79">
      <c r="A79" s="8" t="s">
        <v>275</v>
      </c>
      <c r="B79" s="8">
        <v>1.0</v>
      </c>
      <c r="C79" s="8" t="s">
        <v>12</v>
      </c>
      <c r="D79" s="11">
        <v>1.0</v>
      </c>
      <c r="E79" s="8" t="s">
        <v>346</v>
      </c>
      <c r="F79" s="5">
        <v>46287.684084548615</v>
      </c>
      <c r="G79" s="8">
        <v>4.0</v>
      </c>
      <c r="H79" s="8">
        <v>2.0</v>
      </c>
      <c r="I79" s="8" t="s">
        <v>18</v>
      </c>
      <c r="J79" s="8" t="s">
        <v>442</v>
      </c>
      <c r="K79" s="37" t="s">
        <v>443</v>
      </c>
      <c r="L79" s="8" t="s">
        <v>444</v>
      </c>
    </row>
    <row r="80">
      <c r="A80" s="8" t="s">
        <v>296</v>
      </c>
      <c r="B80" s="8">
        <v>1.0</v>
      </c>
      <c r="C80" s="8" t="s">
        <v>12</v>
      </c>
      <c r="D80" s="11">
        <v>1.0</v>
      </c>
      <c r="E80" s="8" t="s">
        <v>346</v>
      </c>
      <c r="F80" s="5">
        <v>46287.68461460648</v>
      </c>
      <c r="G80" s="8">
        <v>4.0</v>
      </c>
      <c r="H80" s="8">
        <v>2.0</v>
      </c>
      <c r="I80" s="8" t="s">
        <v>18</v>
      </c>
      <c r="J80" s="8" t="s">
        <v>445</v>
      </c>
      <c r="K80" s="37" t="s">
        <v>446</v>
      </c>
      <c r="L80" s="8" t="s">
        <v>447</v>
      </c>
    </row>
    <row r="81">
      <c r="A81" s="8" t="s">
        <v>271</v>
      </c>
      <c r="B81" s="8">
        <v>1.0</v>
      </c>
      <c r="C81" s="8" t="s">
        <v>12</v>
      </c>
      <c r="D81" s="11">
        <v>3.0</v>
      </c>
      <c r="E81" s="8" t="s">
        <v>346</v>
      </c>
      <c r="F81" s="5">
        <v>46287.685135949076</v>
      </c>
      <c r="G81" s="8">
        <v>4.0</v>
      </c>
      <c r="H81" s="8">
        <v>2.0</v>
      </c>
      <c r="I81" s="8" t="s">
        <v>18</v>
      </c>
      <c r="J81" s="8" t="s">
        <v>319</v>
      </c>
      <c r="K81" s="37" t="s">
        <v>448</v>
      </c>
      <c r="L81" s="8" t="s">
        <v>449</v>
      </c>
    </row>
    <row r="82">
      <c r="A82" s="8" t="s">
        <v>18</v>
      </c>
      <c r="B82" s="8">
        <v>10.0</v>
      </c>
      <c r="C82" s="8" t="s">
        <v>12</v>
      </c>
      <c r="D82" s="11">
        <v>1.0</v>
      </c>
      <c r="E82" s="8" t="s">
        <v>346</v>
      </c>
      <c r="F82" s="5">
        <v>46288.3998644213</v>
      </c>
      <c r="G82" s="8">
        <v>1.0</v>
      </c>
      <c r="H82" s="8">
        <v>1.0</v>
      </c>
      <c r="I82" s="8" t="s">
        <v>18</v>
      </c>
      <c r="J82" s="8" t="s">
        <v>319</v>
      </c>
      <c r="K82" s="37" t="s">
        <v>450</v>
      </c>
      <c r="L82" s="8" t="s">
        <v>451</v>
      </c>
    </row>
    <row r="83">
      <c r="A83" s="8" t="s">
        <v>164</v>
      </c>
      <c r="B83" s="8">
        <v>10.0</v>
      </c>
      <c r="C83" s="8" t="s">
        <v>12</v>
      </c>
      <c r="D83" s="11">
        <v>1.0</v>
      </c>
      <c r="E83" s="8" t="s">
        <v>346</v>
      </c>
      <c r="F83" s="5">
        <v>46288.40048505787</v>
      </c>
      <c r="G83" s="8">
        <v>1.0</v>
      </c>
      <c r="H83" s="8">
        <v>1.0</v>
      </c>
      <c r="I83" s="8" t="s">
        <v>18</v>
      </c>
      <c r="J83" s="8" t="s">
        <v>319</v>
      </c>
      <c r="K83" s="37" t="s">
        <v>452</v>
      </c>
      <c r="L83" s="8" t="s">
        <v>453</v>
      </c>
    </row>
    <row r="84">
      <c r="A84" s="8" t="s">
        <v>271</v>
      </c>
      <c r="B84" s="8">
        <v>1.0</v>
      </c>
      <c r="C84" s="8" t="s">
        <v>12</v>
      </c>
      <c r="D84" s="11">
        <v>1.0</v>
      </c>
      <c r="E84" s="8" t="s">
        <v>346</v>
      </c>
      <c r="F84" s="5">
        <v>46288.404222337966</v>
      </c>
      <c r="G84" s="8">
        <v>4.0</v>
      </c>
      <c r="H84" s="8">
        <v>2.0</v>
      </c>
      <c r="I84" s="8" t="s">
        <v>18</v>
      </c>
      <c r="J84" s="8" t="s">
        <v>454</v>
      </c>
      <c r="K84" s="37" t="s">
        <v>455</v>
      </c>
      <c r="L84" s="8" t="s">
        <v>456</v>
      </c>
    </row>
    <row r="85">
      <c r="A85" s="8" t="s">
        <v>145</v>
      </c>
      <c r="B85" s="8">
        <v>1.0</v>
      </c>
      <c r="C85" s="8" t="s">
        <v>12</v>
      </c>
      <c r="D85" s="11">
        <v>1.0</v>
      </c>
      <c r="E85" s="8" t="s">
        <v>346</v>
      </c>
      <c r="F85" s="5">
        <v>46288.40468769676</v>
      </c>
      <c r="G85" s="8">
        <v>4.0</v>
      </c>
      <c r="H85" s="8">
        <v>2.0</v>
      </c>
      <c r="I85" s="8" t="s">
        <v>18</v>
      </c>
      <c r="J85" s="8" t="s">
        <v>319</v>
      </c>
      <c r="K85" s="37" t="s">
        <v>457</v>
      </c>
      <c r="L85" s="8" t="s">
        <v>458</v>
      </c>
    </row>
    <row r="86">
      <c r="F86" s="5"/>
      <c r="K86" s="38"/>
    </row>
    <row r="87">
      <c r="F87" s="5"/>
      <c r="K87" s="38"/>
    </row>
    <row r="88">
      <c r="F88" s="5"/>
      <c r="K88" s="38"/>
    </row>
    <row r="89">
      <c r="F89" s="5"/>
      <c r="K89" s="38"/>
    </row>
    <row r="90">
      <c r="F90" s="5"/>
      <c r="K90" s="38"/>
    </row>
    <row r="91">
      <c r="F91" s="5"/>
      <c r="K91" s="38"/>
    </row>
    <row r="92">
      <c r="F92" s="5"/>
      <c r="K92" s="38"/>
    </row>
    <row r="93">
      <c r="F93" s="5"/>
      <c r="K93" s="38"/>
    </row>
    <row r="94">
      <c r="F94" s="5"/>
      <c r="K94" s="38"/>
    </row>
    <row r="95">
      <c r="F95" s="5"/>
      <c r="K95" s="38"/>
    </row>
    <row r="96">
      <c r="F96" s="5"/>
      <c r="K96" s="38"/>
    </row>
    <row r="97">
      <c r="F97" s="5"/>
      <c r="K97" s="38"/>
    </row>
    <row r="98">
      <c r="F98" s="5"/>
      <c r="K98" s="38"/>
    </row>
    <row r="99">
      <c r="F99" s="5"/>
      <c r="K99" s="38"/>
    </row>
    <row r="100">
      <c r="F100" s="5"/>
      <c r="K100" s="38"/>
    </row>
    <row r="101">
      <c r="F101" s="5"/>
      <c r="K101" s="38"/>
    </row>
    <row r="102">
      <c r="F102" s="5"/>
      <c r="K102" s="38"/>
    </row>
    <row r="103">
      <c r="F103" s="5"/>
      <c r="K103" s="38"/>
    </row>
    <row r="104">
      <c r="F104" s="5"/>
      <c r="K104" s="38"/>
    </row>
    <row r="105">
      <c r="F105" s="5"/>
      <c r="K105" s="38"/>
    </row>
    <row r="106">
      <c r="F106" s="5"/>
      <c r="K106" s="38"/>
    </row>
    <row r="107">
      <c r="F107" s="5"/>
      <c r="K107" s="38"/>
    </row>
    <row r="108">
      <c r="F108" s="5"/>
      <c r="K108" s="38"/>
    </row>
    <row r="109">
      <c r="F109" s="5"/>
      <c r="K109" s="38"/>
    </row>
    <row r="110">
      <c r="F110" s="5"/>
      <c r="K110" s="38"/>
    </row>
    <row r="111">
      <c r="F111" s="5"/>
      <c r="K111" s="38"/>
    </row>
    <row r="112">
      <c r="F112" s="5"/>
      <c r="K112" s="38"/>
    </row>
    <row r="113">
      <c r="F113" s="5"/>
      <c r="K113" s="38"/>
    </row>
    <row r="114">
      <c r="F114" s="5"/>
      <c r="K114" s="38"/>
    </row>
    <row r="115">
      <c r="F115" s="5"/>
      <c r="K115" s="38"/>
    </row>
    <row r="116">
      <c r="F116" s="5"/>
      <c r="K116" s="38"/>
    </row>
    <row r="117">
      <c r="F117" s="5"/>
      <c r="K117" s="38"/>
    </row>
    <row r="118">
      <c r="F118" s="5"/>
      <c r="K118" s="38"/>
    </row>
    <row r="119">
      <c r="F119" s="5"/>
      <c r="K119" s="38"/>
    </row>
    <row r="120">
      <c r="F120" s="5"/>
      <c r="K120" s="38"/>
    </row>
    <row r="121">
      <c r="F121" s="5"/>
      <c r="K121" s="38"/>
    </row>
    <row r="122">
      <c r="F122" s="5"/>
      <c r="K122" s="38"/>
    </row>
    <row r="123">
      <c r="F123" s="5"/>
      <c r="K123" s="38"/>
    </row>
    <row r="124">
      <c r="F124" s="5"/>
      <c r="K124" s="38"/>
    </row>
    <row r="125">
      <c r="F125" s="5"/>
      <c r="K125" s="38"/>
    </row>
    <row r="126">
      <c r="F126" s="5"/>
      <c r="K126" s="38"/>
    </row>
    <row r="127">
      <c r="F127" s="5"/>
      <c r="K127" s="38"/>
    </row>
    <row r="128">
      <c r="F128" s="5"/>
      <c r="K128" s="38"/>
    </row>
    <row r="129">
      <c r="F129" s="5"/>
      <c r="K129" s="38"/>
    </row>
    <row r="130">
      <c r="F130" s="5"/>
      <c r="K130" s="38"/>
    </row>
    <row r="131">
      <c r="F131" s="5"/>
      <c r="K131" s="38"/>
    </row>
    <row r="132">
      <c r="F132" s="5"/>
      <c r="K132" s="38"/>
    </row>
    <row r="133">
      <c r="F133" s="5"/>
      <c r="K133" s="38"/>
    </row>
    <row r="134">
      <c r="F134" s="5"/>
      <c r="K134" s="38"/>
    </row>
    <row r="135">
      <c r="F135" s="5"/>
      <c r="K135" s="38"/>
    </row>
    <row r="136">
      <c r="F136" s="5"/>
      <c r="K136" s="38"/>
    </row>
    <row r="137">
      <c r="F137" s="5"/>
      <c r="K137" s="38"/>
    </row>
    <row r="138">
      <c r="F138" s="5"/>
      <c r="K138" s="38"/>
    </row>
    <row r="139">
      <c r="F139" s="5"/>
      <c r="K139" s="38"/>
    </row>
    <row r="140">
      <c r="F140" s="5"/>
      <c r="K140" s="38"/>
    </row>
    <row r="141">
      <c r="F141" s="5"/>
      <c r="K141" s="38"/>
    </row>
    <row r="142">
      <c r="F142" s="5"/>
      <c r="K142" s="38"/>
    </row>
    <row r="143">
      <c r="F143" s="5"/>
      <c r="K143" s="38"/>
    </row>
    <row r="144">
      <c r="F144" s="5"/>
      <c r="K144" s="38"/>
    </row>
    <row r="145">
      <c r="F145" s="5"/>
      <c r="K145" s="38"/>
    </row>
    <row r="146">
      <c r="F146" s="5"/>
      <c r="K146" s="38"/>
    </row>
    <row r="147">
      <c r="F147" s="5"/>
      <c r="K147" s="38"/>
    </row>
    <row r="148">
      <c r="F148" s="5"/>
      <c r="K148" s="38"/>
    </row>
    <row r="149">
      <c r="F149" s="5"/>
      <c r="K149" s="38"/>
    </row>
    <row r="150">
      <c r="F150" s="5"/>
      <c r="K150" s="38"/>
    </row>
    <row r="151">
      <c r="F151" s="5"/>
      <c r="K151" s="38"/>
    </row>
    <row r="152">
      <c r="F152" s="5"/>
      <c r="K152" s="38"/>
    </row>
    <row r="153">
      <c r="F153" s="5"/>
      <c r="K153" s="38"/>
    </row>
    <row r="154">
      <c r="F154" s="5"/>
      <c r="K154" s="38"/>
    </row>
    <row r="155">
      <c r="F155" s="5"/>
      <c r="K155" s="38"/>
    </row>
    <row r="156">
      <c r="F156" s="5"/>
      <c r="K156" s="38"/>
    </row>
    <row r="157">
      <c r="F157" s="5"/>
      <c r="K157" s="38"/>
    </row>
    <row r="158">
      <c r="F158" s="5"/>
      <c r="K158" s="38"/>
    </row>
    <row r="159">
      <c r="F159" s="5"/>
      <c r="K159" s="38"/>
    </row>
    <row r="160">
      <c r="F160" s="5"/>
      <c r="K160" s="38"/>
    </row>
    <row r="161">
      <c r="F161" s="5"/>
      <c r="K161" s="38"/>
    </row>
    <row r="162">
      <c r="F162" s="5"/>
      <c r="K162" s="38"/>
    </row>
    <row r="163">
      <c r="F163" s="5"/>
      <c r="K163" s="38"/>
    </row>
    <row r="164">
      <c r="F164" s="5"/>
      <c r="K164" s="38"/>
    </row>
    <row r="165">
      <c r="F165" s="5"/>
      <c r="K165" s="38"/>
    </row>
    <row r="166">
      <c r="F166" s="5"/>
      <c r="K166" s="38"/>
    </row>
    <row r="167">
      <c r="F167" s="5"/>
      <c r="K167" s="38"/>
    </row>
    <row r="168">
      <c r="F168" s="5"/>
      <c r="K168" s="38"/>
    </row>
    <row r="169">
      <c r="F169" s="5"/>
      <c r="K169" s="38"/>
    </row>
    <row r="170">
      <c r="F170" s="5"/>
      <c r="K170" s="38"/>
    </row>
    <row r="171">
      <c r="F171" s="5"/>
      <c r="K171" s="38"/>
    </row>
    <row r="172">
      <c r="F172" s="5"/>
      <c r="K172" s="38"/>
    </row>
    <row r="173">
      <c r="F173" s="5"/>
      <c r="K173" s="38"/>
    </row>
    <row r="174">
      <c r="F174" s="5"/>
      <c r="K174" s="38"/>
    </row>
    <row r="175">
      <c r="F175" s="5"/>
      <c r="K175" s="38"/>
    </row>
    <row r="176">
      <c r="F176" s="5"/>
      <c r="K176" s="38"/>
    </row>
    <row r="177">
      <c r="F177" s="5"/>
      <c r="K177" s="38"/>
    </row>
    <row r="178">
      <c r="F178" s="5"/>
      <c r="K178" s="38"/>
    </row>
    <row r="179">
      <c r="F179" s="5"/>
      <c r="K179" s="38"/>
    </row>
    <row r="180">
      <c r="F180" s="5"/>
      <c r="K180" s="38"/>
    </row>
    <row r="181">
      <c r="F181" s="5"/>
      <c r="K181" s="38"/>
    </row>
    <row r="182">
      <c r="F182" s="5"/>
      <c r="K182" s="38"/>
    </row>
    <row r="183">
      <c r="F183" s="5"/>
      <c r="K183" s="38"/>
    </row>
    <row r="184">
      <c r="F184" s="5"/>
      <c r="K184" s="38"/>
    </row>
    <row r="185">
      <c r="F185" s="5"/>
      <c r="K185" s="38"/>
    </row>
    <row r="186">
      <c r="F186" s="5"/>
      <c r="K186" s="38"/>
    </row>
    <row r="187">
      <c r="F187" s="5"/>
      <c r="K187" s="38"/>
    </row>
    <row r="188">
      <c r="F188" s="5"/>
      <c r="K188" s="38"/>
    </row>
    <row r="189">
      <c r="F189" s="5"/>
      <c r="K189" s="38"/>
    </row>
    <row r="190">
      <c r="F190" s="5"/>
      <c r="K190" s="38"/>
    </row>
    <row r="191">
      <c r="F191" s="5"/>
      <c r="K191" s="38"/>
    </row>
    <row r="192">
      <c r="F192" s="5"/>
      <c r="K192" s="38"/>
    </row>
    <row r="193">
      <c r="F193" s="5"/>
      <c r="K193" s="38"/>
    </row>
    <row r="194">
      <c r="F194" s="5"/>
      <c r="K194" s="38"/>
    </row>
    <row r="195">
      <c r="F195" s="5"/>
      <c r="K195" s="38"/>
    </row>
    <row r="196">
      <c r="F196" s="5"/>
      <c r="K196" s="38"/>
    </row>
    <row r="197">
      <c r="F197" s="5"/>
      <c r="K197" s="38"/>
    </row>
    <row r="198">
      <c r="F198" s="5"/>
      <c r="K198" s="38"/>
    </row>
    <row r="199">
      <c r="F199" s="5"/>
      <c r="K199" s="38"/>
    </row>
    <row r="200">
      <c r="F200" s="5"/>
      <c r="K200" s="38"/>
    </row>
    <row r="201">
      <c r="F201" s="5"/>
      <c r="K201" s="38"/>
    </row>
    <row r="202">
      <c r="F202" s="5"/>
      <c r="K202" s="38"/>
    </row>
    <row r="203">
      <c r="F203" s="5"/>
      <c r="K203" s="38"/>
    </row>
    <row r="204">
      <c r="F204" s="5"/>
      <c r="K204" s="38"/>
    </row>
    <row r="205">
      <c r="F205" s="5"/>
      <c r="K205" s="38"/>
    </row>
    <row r="206">
      <c r="F206" s="5"/>
      <c r="K206" s="38"/>
    </row>
    <row r="207">
      <c r="F207" s="5"/>
      <c r="K207" s="38"/>
    </row>
    <row r="208">
      <c r="F208" s="5"/>
      <c r="K208" s="38"/>
    </row>
    <row r="209">
      <c r="F209" s="5"/>
      <c r="K209" s="38"/>
    </row>
    <row r="210">
      <c r="F210" s="5"/>
      <c r="K210" s="38"/>
    </row>
    <row r="211">
      <c r="F211" s="5"/>
      <c r="K211" s="38"/>
    </row>
    <row r="212">
      <c r="F212" s="5"/>
      <c r="K212" s="38"/>
    </row>
    <row r="213">
      <c r="F213" s="5"/>
      <c r="K213" s="38"/>
    </row>
    <row r="214">
      <c r="F214" s="5"/>
      <c r="K214" s="38"/>
    </row>
    <row r="215">
      <c r="F215" s="5"/>
      <c r="K215" s="38"/>
    </row>
    <row r="216">
      <c r="F216" s="5"/>
      <c r="K216" s="38"/>
    </row>
    <row r="217">
      <c r="F217" s="5"/>
      <c r="K217" s="38"/>
    </row>
    <row r="218">
      <c r="F218" s="5"/>
      <c r="K218" s="38"/>
    </row>
    <row r="219">
      <c r="F219" s="5"/>
      <c r="K219" s="38"/>
    </row>
    <row r="220">
      <c r="F220" s="5"/>
      <c r="K220" s="38"/>
    </row>
    <row r="221">
      <c r="F221" s="5"/>
      <c r="K221" s="38"/>
    </row>
    <row r="222">
      <c r="F222" s="5"/>
      <c r="K222" s="38"/>
    </row>
    <row r="223">
      <c r="F223" s="5"/>
      <c r="K223" s="38"/>
    </row>
    <row r="224">
      <c r="F224" s="5"/>
      <c r="K224" s="38"/>
    </row>
    <row r="225">
      <c r="F225" s="5"/>
      <c r="K225" s="38"/>
    </row>
    <row r="226">
      <c r="F226" s="5"/>
      <c r="K226" s="38"/>
    </row>
    <row r="227">
      <c r="F227" s="5"/>
      <c r="K227" s="38"/>
    </row>
    <row r="228">
      <c r="F228" s="5"/>
      <c r="K228" s="38"/>
    </row>
    <row r="229">
      <c r="F229" s="5"/>
      <c r="K229" s="38"/>
    </row>
    <row r="230">
      <c r="F230" s="5"/>
      <c r="K230" s="38"/>
    </row>
    <row r="231">
      <c r="F231" s="5"/>
      <c r="K231" s="38"/>
    </row>
    <row r="232">
      <c r="F232" s="5"/>
      <c r="K232" s="38"/>
    </row>
    <row r="233">
      <c r="F233" s="5"/>
      <c r="K233" s="38"/>
    </row>
    <row r="234">
      <c r="F234" s="5"/>
      <c r="K234" s="38"/>
    </row>
    <row r="235">
      <c r="F235" s="5"/>
      <c r="K235" s="38"/>
    </row>
    <row r="236">
      <c r="F236" s="5"/>
      <c r="K236" s="38"/>
    </row>
    <row r="237">
      <c r="F237" s="5"/>
      <c r="K237" s="38"/>
    </row>
    <row r="238">
      <c r="F238" s="5"/>
      <c r="K238" s="38"/>
    </row>
    <row r="239">
      <c r="F239" s="5"/>
      <c r="K239" s="38"/>
    </row>
    <row r="240">
      <c r="F240" s="5"/>
      <c r="K240" s="38"/>
    </row>
    <row r="241">
      <c r="F241" s="5"/>
      <c r="K241" s="38"/>
    </row>
    <row r="242">
      <c r="F242" s="5"/>
      <c r="K242" s="38"/>
    </row>
    <row r="243">
      <c r="F243" s="5"/>
      <c r="K243" s="38"/>
    </row>
    <row r="244">
      <c r="F244" s="5"/>
      <c r="K244" s="38"/>
    </row>
    <row r="245">
      <c r="F245" s="5"/>
      <c r="K245" s="38"/>
    </row>
    <row r="246">
      <c r="F246" s="5"/>
      <c r="K246" s="38"/>
    </row>
    <row r="247">
      <c r="F247" s="5"/>
      <c r="K247" s="38"/>
    </row>
    <row r="248">
      <c r="F248" s="5"/>
      <c r="K248" s="38"/>
    </row>
    <row r="249">
      <c r="F249" s="5"/>
      <c r="K249" s="38"/>
    </row>
    <row r="250">
      <c r="F250" s="5"/>
      <c r="K250" s="38"/>
    </row>
    <row r="251">
      <c r="F251" s="5"/>
      <c r="K251" s="38"/>
    </row>
    <row r="252">
      <c r="F252" s="5"/>
      <c r="K252" s="38"/>
    </row>
    <row r="253">
      <c r="F253" s="5"/>
      <c r="K253" s="38"/>
    </row>
    <row r="254">
      <c r="F254" s="5"/>
      <c r="K254" s="38"/>
    </row>
    <row r="255">
      <c r="F255" s="5"/>
      <c r="K255" s="38"/>
    </row>
    <row r="256">
      <c r="F256" s="5"/>
      <c r="K256" s="38"/>
    </row>
    <row r="257">
      <c r="F257" s="5"/>
      <c r="K257" s="38"/>
    </row>
    <row r="258">
      <c r="F258" s="5"/>
      <c r="K258" s="38"/>
    </row>
    <row r="259">
      <c r="F259" s="5"/>
      <c r="K259" s="38"/>
    </row>
    <row r="260">
      <c r="F260" s="5"/>
      <c r="K260" s="38"/>
    </row>
    <row r="261">
      <c r="F261" s="5"/>
      <c r="K261" s="38"/>
    </row>
    <row r="262">
      <c r="F262" s="5"/>
      <c r="K262" s="38"/>
    </row>
    <row r="263">
      <c r="F263" s="5"/>
      <c r="K263" s="38"/>
    </row>
    <row r="264">
      <c r="F264" s="5"/>
      <c r="K264" s="38"/>
    </row>
    <row r="265">
      <c r="F265" s="5"/>
      <c r="K265" s="38"/>
    </row>
    <row r="266">
      <c r="F266" s="5"/>
      <c r="K266" s="38"/>
    </row>
    <row r="267">
      <c r="F267" s="5"/>
      <c r="K267" s="38"/>
    </row>
    <row r="268">
      <c r="F268" s="5"/>
      <c r="K268" s="38"/>
    </row>
    <row r="269">
      <c r="F269" s="5"/>
      <c r="K269" s="38"/>
    </row>
    <row r="270">
      <c r="F270" s="5"/>
      <c r="K270" s="38"/>
    </row>
    <row r="271">
      <c r="F271" s="5"/>
      <c r="K271" s="38"/>
    </row>
    <row r="272">
      <c r="F272" s="5"/>
      <c r="K272" s="38"/>
    </row>
    <row r="273">
      <c r="F273" s="5"/>
      <c r="K273" s="38"/>
    </row>
    <row r="274">
      <c r="F274" s="5"/>
      <c r="K274" s="38"/>
    </row>
    <row r="275">
      <c r="F275" s="5"/>
      <c r="K275" s="38"/>
    </row>
    <row r="276">
      <c r="F276" s="5"/>
      <c r="K276" s="38"/>
    </row>
    <row r="277">
      <c r="F277" s="5"/>
      <c r="K277" s="38"/>
    </row>
    <row r="278">
      <c r="F278" s="5"/>
      <c r="K278" s="38"/>
    </row>
    <row r="279">
      <c r="F279" s="5"/>
      <c r="K279" s="38"/>
    </row>
    <row r="280">
      <c r="F280" s="5"/>
      <c r="K280" s="38"/>
    </row>
    <row r="281">
      <c r="F281" s="5"/>
      <c r="K281" s="38"/>
    </row>
    <row r="282">
      <c r="F282" s="5"/>
      <c r="K282" s="38"/>
    </row>
    <row r="283">
      <c r="F283" s="5"/>
      <c r="K283" s="38"/>
    </row>
    <row r="284">
      <c r="F284" s="5"/>
      <c r="K284" s="38"/>
    </row>
    <row r="285">
      <c r="F285" s="5"/>
      <c r="K285" s="38"/>
    </row>
    <row r="286">
      <c r="F286" s="5"/>
      <c r="K286" s="38"/>
    </row>
    <row r="287">
      <c r="F287" s="5"/>
      <c r="K287" s="38"/>
    </row>
    <row r="288">
      <c r="F288" s="5"/>
      <c r="K288" s="38"/>
    </row>
    <row r="289">
      <c r="F289" s="5"/>
      <c r="K289" s="38"/>
    </row>
    <row r="290">
      <c r="F290" s="5"/>
      <c r="K290" s="38"/>
    </row>
    <row r="291">
      <c r="F291" s="5"/>
      <c r="K291" s="38"/>
    </row>
    <row r="292">
      <c r="F292" s="5"/>
      <c r="K292" s="38"/>
    </row>
    <row r="293">
      <c r="F293" s="5"/>
      <c r="K293" s="38"/>
    </row>
    <row r="294">
      <c r="F294" s="5"/>
      <c r="K294" s="38"/>
    </row>
    <row r="295">
      <c r="F295" s="5"/>
      <c r="K295" s="38"/>
    </row>
    <row r="296">
      <c r="F296" s="5"/>
      <c r="K296" s="38"/>
    </row>
    <row r="297">
      <c r="F297" s="5"/>
      <c r="K297" s="38"/>
    </row>
    <row r="298">
      <c r="F298" s="5"/>
      <c r="K298" s="38"/>
    </row>
    <row r="299">
      <c r="F299" s="5"/>
      <c r="K299" s="38"/>
    </row>
    <row r="300">
      <c r="F300" s="5"/>
      <c r="K300" s="38"/>
    </row>
    <row r="301">
      <c r="F301" s="5"/>
      <c r="K301" s="38"/>
    </row>
    <row r="302">
      <c r="F302" s="5"/>
      <c r="K302" s="38"/>
    </row>
    <row r="303">
      <c r="F303" s="5"/>
      <c r="K303" s="38"/>
    </row>
    <row r="304">
      <c r="F304" s="5"/>
      <c r="K304" s="38"/>
    </row>
    <row r="305">
      <c r="F305" s="5"/>
      <c r="K305" s="38"/>
    </row>
    <row r="306">
      <c r="F306" s="5"/>
      <c r="K306" s="38"/>
    </row>
    <row r="307">
      <c r="F307" s="5"/>
      <c r="K307" s="38"/>
    </row>
    <row r="308">
      <c r="F308" s="5"/>
      <c r="K308" s="38"/>
    </row>
    <row r="309">
      <c r="F309" s="5"/>
      <c r="K309" s="38"/>
    </row>
    <row r="310">
      <c r="F310" s="5"/>
      <c r="K310" s="38"/>
    </row>
    <row r="311">
      <c r="F311" s="5"/>
      <c r="K311" s="38"/>
    </row>
    <row r="312">
      <c r="F312" s="5"/>
      <c r="K312" s="38"/>
    </row>
    <row r="313">
      <c r="F313" s="5"/>
      <c r="K313" s="38"/>
    </row>
    <row r="314">
      <c r="F314" s="5"/>
      <c r="K314" s="38"/>
    </row>
    <row r="315">
      <c r="F315" s="5"/>
      <c r="K315" s="38"/>
    </row>
    <row r="316">
      <c r="F316" s="5"/>
      <c r="K316" s="38"/>
    </row>
    <row r="317">
      <c r="F317" s="5"/>
      <c r="K317" s="38"/>
    </row>
    <row r="318">
      <c r="F318" s="5"/>
      <c r="K318" s="38"/>
    </row>
    <row r="319">
      <c r="F319" s="5"/>
      <c r="K319" s="38"/>
    </row>
    <row r="320">
      <c r="F320" s="5"/>
      <c r="K320" s="38"/>
    </row>
    <row r="321">
      <c r="F321" s="5"/>
      <c r="K321" s="38"/>
    </row>
    <row r="322">
      <c r="F322" s="5"/>
      <c r="K322" s="38"/>
    </row>
    <row r="323">
      <c r="F323" s="5"/>
      <c r="K323" s="38"/>
    </row>
    <row r="324">
      <c r="F324" s="5"/>
      <c r="K324" s="38"/>
    </row>
    <row r="325">
      <c r="F325" s="5"/>
      <c r="K325" s="38"/>
    </row>
    <row r="326">
      <c r="F326" s="5"/>
      <c r="K326" s="38"/>
    </row>
    <row r="327">
      <c r="F327" s="5"/>
      <c r="K327" s="38"/>
    </row>
    <row r="328">
      <c r="F328" s="5"/>
      <c r="K328" s="38"/>
    </row>
    <row r="329">
      <c r="F329" s="5"/>
      <c r="K329" s="38"/>
    </row>
    <row r="330">
      <c r="F330" s="5"/>
      <c r="K330" s="38"/>
    </row>
    <row r="331">
      <c r="F331" s="5"/>
      <c r="K331" s="38"/>
    </row>
    <row r="332">
      <c r="F332" s="5"/>
      <c r="K332" s="38"/>
    </row>
    <row r="333">
      <c r="F333" s="5"/>
      <c r="K333" s="38"/>
    </row>
    <row r="334">
      <c r="F334" s="5"/>
      <c r="K334" s="38"/>
    </row>
    <row r="335">
      <c r="F335" s="5"/>
      <c r="K335" s="38"/>
    </row>
    <row r="336">
      <c r="F336" s="5"/>
      <c r="K336" s="38"/>
    </row>
    <row r="337">
      <c r="F337" s="5"/>
      <c r="K337" s="38"/>
    </row>
    <row r="338">
      <c r="F338" s="5"/>
      <c r="K338" s="38"/>
    </row>
    <row r="339">
      <c r="F339" s="5"/>
      <c r="K339" s="38"/>
    </row>
    <row r="340">
      <c r="F340" s="5"/>
      <c r="K340" s="38"/>
    </row>
    <row r="341">
      <c r="F341" s="5"/>
      <c r="K341" s="38"/>
    </row>
    <row r="342">
      <c r="F342" s="5"/>
      <c r="K342" s="38"/>
    </row>
    <row r="343">
      <c r="F343" s="5"/>
      <c r="K343" s="38"/>
    </row>
    <row r="344">
      <c r="F344" s="5"/>
      <c r="K344" s="38"/>
    </row>
    <row r="345">
      <c r="F345" s="5"/>
      <c r="K345" s="38"/>
    </row>
    <row r="346">
      <c r="F346" s="5"/>
      <c r="K346" s="38"/>
    </row>
    <row r="347">
      <c r="F347" s="5"/>
      <c r="K347" s="38"/>
    </row>
    <row r="348">
      <c r="F348" s="5"/>
      <c r="K348" s="38"/>
    </row>
    <row r="349">
      <c r="F349" s="5"/>
      <c r="K349" s="38"/>
    </row>
    <row r="350">
      <c r="F350" s="5"/>
      <c r="K350" s="38"/>
    </row>
    <row r="351">
      <c r="F351" s="5"/>
      <c r="K351" s="38"/>
    </row>
    <row r="352">
      <c r="F352" s="5"/>
      <c r="K352" s="38"/>
    </row>
    <row r="353">
      <c r="F353" s="5"/>
      <c r="K353" s="38"/>
    </row>
    <row r="354">
      <c r="F354" s="5"/>
      <c r="K354" s="38"/>
    </row>
    <row r="355">
      <c r="F355" s="5"/>
      <c r="K355" s="38"/>
    </row>
    <row r="356">
      <c r="F356" s="5"/>
      <c r="K356" s="38"/>
    </row>
    <row r="357">
      <c r="F357" s="5"/>
      <c r="K357" s="38"/>
    </row>
    <row r="358">
      <c r="F358" s="5"/>
      <c r="K358" s="38"/>
    </row>
    <row r="359">
      <c r="F359" s="5"/>
      <c r="K359" s="38"/>
    </row>
    <row r="360">
      <c r="F360" s="5"/>
      <c r="K360" s="38"/>
    </row>
    <row r="361">
      <c r="F361" s="5"/>
      <c r="K361" s="38"/>
    </row>
    <row r="362">
      <c r="F362" s="5"/>
      <c r="K362" s="38"/>
    </row>
    <row r="363">
      <c r="F363" s="5"/>
      <c r="K363" s="38"/>
    </row>
    <row r="364">
      <c r="F364" s="5"/>
      <c r="K364" s="38"/>
    </row>
    <row r="365">
      <c r="F365" s="5"/>
      <c r="K365" s="38"/>
    </row>
    <row r="366">
      <c r="F366" s="5"/>
      <c r="K366" s="38"/>
    </row>
    <row r="367">
      <c r="F367" s="5"/>
      <c r="K367" s="38"/>
    </row>
    <row r="368">
      <c r="F368" s="5"/>
      <c r="K368" s="38"/>
    </row>
    <row r="369">
      <c r="F369" s="5"/>
      <c r="K369" s="38"/>
    </row>
    <row r="370">
      <c r="F370" s="5"/>
      <c r="K370" s="38"/>
    </row>
    <row r="371">
      <c r="F371" s="5"/>
      <c r="K371" s="38"/>
    </row>
    <row r="372">
      <c r="F372" s="5"/>
      <c r="K372" s="38"/>
    </row>
    <row r="373">
      <c r="F373" s="5"/>
      <c r="K373" s="38"/>
    </row>
    <row r="374">
      <c r="F374" s="5"/>
      <c r="K374" s="38"/>
    </row>
    <row r="375">
      <c r="F375" s="5"/>
      <c r="K375" s="38"/>
    </row>
    <row r="376">
      <c r="F376" s="5"/>
      <c r="K376" s="38"/>
    </row>
    <row r="377">
      <c r="F377" s="5"/>
      <c r="K377" s="38"/>
    </row>
    <row r="378">
      <c r="F378" s="5"/>
      <c r="K378" s="38"/>
    </row>
    <row r="379">
      <c r="F379" s="5"/>
      <c r="K379" s="38"/>
    </row>
    <row r="380">
      <c r="F380" s="5"/>
      <c r="K380" s="38"/>
    </row>
    <row r="381">
      <c r="F381" s="5"/>
      <c r="K381" s="38"/>
    </row>
    <row r="382">
      <c r="F382" s="5"/>
      <c r="K382" s="38"/>
    </row>
    <row r="383">
      <c r="F383" s="5"/>
      <c r="K383" s="38"/>
    </row>
    <row r="384">
      <c r="F384" s="5"/>
      <c r="K384" s="38"/>
    </row>
    <row r="385">
      <c r="F385" s="5"/>
      <c r="K385" s="38"/>
    </row>
    <row r="386">
      <c r="F386" s="5"/>
      <c r="K386" s="38"/>
    </row>
    <row r="387">
      <c r="F387" s="5"/>
      <c r="K387" s="38"/>
    </row>
    <row r="388">
      <c r="F388" s="5"/>
      <c r="K388" s="38"/>
    </row>
    <row r="389">
      <c r="F389" s="5"/>
      <c r="K389" s="38"/>
    </row>
    <row r="390">
      <c r="F390" s="5"/>
      <c r="K390" s="38"/>
    </row>
    <row r="391">
      <c r="F391" s="5"/>
      <c r="K391" s="38"/>
    </row>
    <row r="392">
      <c r="F392" s="5"/>
      <c r="K392" s="38"/>
    </row>
    <row r="393">
      <c r="F393" s="5"/>
      <c r="K393" s="38"/>
    </row>
    <row r="394">
      <c r="F394" s="5"/>
      <c r="K394" s="38"/>
    </row>
    <row r="395">
      <c r="F395" s="5"/>
      <c r="K395" s="38"/>
    </row>
    <row r="396">
      <c r="F396" s="5"/>
      <c r="K396" s="38"/>
    </row>
    <row r="397">
      <c r="F397" s="5"/>
      <c r="K397" s="38"/>
    </row>
    <row r="398">
      <c r="F398" s="5"/>
      <c r="K398" s="38"/>
    </row>
    <row r="399">
      <c r="F399" s="5"/>
      <c r="K399" s="38"/>
    </row>
    <row r="400">
      <c r="F400" s="5"/>
      <c r="K400" s="38"/>
    </row>
    <row r="401">
      <c r="F401" s="5"/>
      <c r="K401" s="38"/>
    </row>
    <row r="402">
      <c r="F402" s="5"/>
      <c r="K402" s="38"/>
    </row>
    <row r="403">
      <c r="F403" s="5"/>
      <c r="K403" s="38"/>
    </row>
    <row r="404">
      <c r="F404" s="5"/>
      <c r="K404" s="38"/>
    </row>
    <row r="405">
      <c r="F405" s="5"/>
      <c r="K405" s="38"/>
    </row>
    <row r="406">
      <c r="F406" s="5"/>
      <c r="K406" s="38"/>
    </row>
    <row r="407">
      <c r="F407" s="5"/>
      <c r="K407" s="38"/>
    </row>
    <row r="408">
      <c r="F408" s="5"/>
      <c r="K408" s="38"/>
    </row>
    <row r="409">
      <c r="F409" s="5"/>
      <c r="K409" s="38"/>
    </row>
    <row r="410">
      <c r="F410" s="5"/>
      <c r="K410" s="38"/>
    </row>
    <row r="411">
      <c r="F411" s="5"/>
      <c r="K411" s="38"/>
    </row>
    <row r="412">
      <c r="F412" s="5"/>
      <c r="K412" s="38"/>
    </row>
    <row r="413">
      <c r="F413" s="5"/>
      <c r="K413" s="38"/>
    </row>
    <row r="414">
      <c r="F414" s="5"/>
      <c r="K414" s="38"/>
    </row>
    <row r="415">
      <c r="F415" s="5"/>
      <c r="K415" s="38"/>
    </row>
    <row r="416">
      <c r="F416" s="5"/>
      <c r="K416" s="38"/>
    </row>
    <row r="417">
      <c r="F417" s="5"/>
      <c r="K417" s="38"/>
    </row>
    <row r="418">
      <c r="F418" s="5"/>
      <c r="K418" s="38"/>
    </row>
    <row r="419">
      <c r="F419" s="5"/>
      <c r="K419" s="38"/>
    </row>
    <row r="420">
      <c r="F420" s="5"/>
      <c r="K420" s="38"/>
    </row>
    <row r="421">
      <c r="F421" s="5"/>
      <c r="K421" s="38"/>
    </row>
    <row r="422">
      <c r="F422" s="5"/>
      <c r="K422" s="38"/>
    </row>
    <row r="423">
      <c r="F423" s="5"/>
      <c r="K423" s="38"/>
    </row>
    <row r="424">
      <c r="F424" s="5"/>
      <c r="K424" s="38"/>
    </row>
    <row r="425">
      <c r="F425" s="5"/>
      <c r="K425" s="38"/>
    </row>
    <row r="426">
      <c r="F426" s="5"/>
      <c r="K426" s="38"/>
    </row>
    <row r="427">
      <c r="F427" s="5"/>
      <c r="K427" s="38"/>
    </row>
    <row r="428">
      <c r="F428" s="5"/>
      <c r="K428" s="38"/>
    </row>
    <row r="429">
      <c r="F429" s="5"/>
      <c r="K429" s="38"/>
    </row>
    <row r="430">
      <c r="F430" s="5"/>
      <c r="K430" s="38"/>
    </row>
    <row r="431">
      <c r="F431" s="5"/>
      <c r="K431" s="38"/>
    </row>
    <row r="432">
      <c r="F432" s="5"/>
      <c r="K432" s="38"/>
    </row>
    <row r="433">
      <c r="F433" s="5"/>
      <c r="K433" s="38"/>
    </row>
    <row r="434">
      <c r="F434" s="5"/>
      <c r="K434" s="38"/>
    </row>
    <row r="435">
      <c r="F435" s="5"/>
      <c r="K435" s="38"/>
    </row>
    <row r="436">
      <c r="F436" s="5"/>
      <c r="K436" s="38"/>
    </row>
    <row r="437">
      <c r="F437" s="5"/>
      <c r="K437" s="38"/>
    </row>
    <row r="438">
      <c r="F438" s="5"/>
      <c r="K438" s="38"/>
    </row>
    <row r="439">
      <c r="F439" s="5"/>
      <c r="K439" s="38"/>
    </row>
    <row r="440">
      <c r="F440" s="5"/>
      <c r="K440" s="38"/>
    </row>
    <row r="441">
      <c r="F441" s="5"/>
      <c r="K441" s="38"/>
    </row>
    <row r="442">
      <c r="F442" s="5"/>
      <c r="K442" s="38"/>
    </row>
    <row r="443">
      <c r="F443" s="5"/>
      <c r="K443" s="38"/>
    </row>
    <row r="444">
      <c r="F444" s="5"/>
      <c r="K444" s="38"/>
    </row>
    <row r="445">
      <c r="F445" s="5"/>
      <c r="K445" s="38"/>
    </row>
    <row r="446">
      <c r="F446" s="5"/>
      <c r="K446" s="38"/>
    </row>
    <row r="447">
      <c r="F447" s="5"/>
      <c r="K447" s="38"/>
    </row>
    <row r="448">
      <c r="F448" s="5"/>
      <c r="K448" s="38"/>
    </row>
    <row r="449">
      <c r="F449" s="5"/>
      <c r="K449" s="38"/>
    </row>
    <row r="450">
      <c r="F450" s="5"/>
      <c r="K450" s="38"/>
    </row>
    <row r="451">
      <c r="F451" s="5"/>
      <c r="K451" s="38"/>
    </row>
    <row r="452">
      <c r="F452" s="5"/>
      <c r="K452" s="38"/>
    </row>
    <row r="453">
      <c r="F453" s="5"/>
      <c r="K453" s="38"/>
    </row>
    <row r="454">
      <c r="F454" s="5"/>
      <c r="K454" s="38"/>
    </row>
    <row r="455">
      <c r="F455" s="5"/>
      <c r="K455" s="38"/>
    </row>
    <row r="456">
      <c r="F456" s="5"/>
      <c r="K456" s="38"/>
    </row>
    <row r="457">
      <c r="F457" s="5"/>
      <c r="K457" s="38"/>
    </row>
    <row r="458">
      <c r="F458" s="5"/>
      <c r="K458" s="38"/>
    </row>
    <row r="459">
      <c r="F459" s="5"/>
      <c r="K459" s="38"/>
    </row>
    <row r="460">
      <c r="F460" s="5"/>
      <c r="K460" s="38"/>
    </row>
    <row r="461">
      <c r="F461" s="5"/>
      <c r="K461" s="38"/>
    </row>
    <row r="462">
      <c r="F462" s="5"/>
      <c r="K462" s="38"/>
    </row>
    <row r="463">
      <c r="F463" s="5"/>
      <c r="K463" s="38"/>
    </row>
    <row r="464">
      <c r="F464" s="5"/>
      <c r="K464" s="38"/>
    </row>
    <row r="465">
      <c r="F465" s="5"/>
      <c r="K465" s="38"/>
    </row>
    <row r="466">
      <c r="F466" s="5"/>
      <c r="K466" s="38"/>
    </row>
    <row r="467">
      <c r="F467" s="5"/>
      <c r="K467" s="38"/>
    </row>
    <row r="468">
      <c r="F468" s="5"/>
      <c r="K468" s="38"/>
    </row>
    <row r="469">
      <c r="F469" s="5"/>
      <c r="K469" s="38"/>
    </row>
    <row r="470">
      <c r="F470" s="5"/>
      <c r="K470" s="38"/>
    </row>
    <row r="471">
      <c r="F471" s="5"/>
      <c r="K471" s="38"/>
    </row>
    <row r="472">
      <c r="F472" s="5"/>
      <c r="K472" s="38"/>
    </row>
    <row r="473">
      <c r="F473" s="5"/>
      <c r="K473" s="38"/>
    </row>
    <row r="474">
      <c r="F474" s="5"/>
      <c r="K474" s="38"/>
    </row>
    <row r="475">
      <c r="F475" s="5"/>
      <c r="K475" s="38"/>
    </row>
    <row r="476">
      <c r="F476" s="5"/>
      <c r="K476" s="38"/>
    </row>
    <row r="477">
      <c r="F477" s="5"/>
      <c r="K477" s="38"/>
    </row>
    <row r="478">
      <c r="F478" s="5"/>
      <c r="K478" s="38"/>
    </row>
    <row r="479">
      <c r="F479" s="5"/>
      <c r="K479" s="38"/>
    </row>
    <row r="480">
      <c r="F480" s="5"/>
      <c r="K480" s="38"/>
    </row>
    <row r="481">
      <c r="F481" s="5"/>
      <c r="K481" s="38"/>
    </row>
    <row r="482">
      <c r="F482" s="5"/>
      <c r="K482" s="38"/>
    </row>
    <row r="483">
      <c r="F483" s="5"/>
      <c r="K483" s="38"/>
    </row>
    <row r="484">
      <c r="F484" s="5"/>
      <c r="K484" s="38"/>
    </row>
    <row r="485">
      <c r="F485" s="5"/>
      <c r="K485" s="38"/>
    </row>
    <row r="486">
      <c r="F486" s="5"/>
      <c r="K486" s="38"/>
    </row>
    <row r="487">
      <c r="F487" s="5"/>
      <c r="K487" s="38"/>
    </row>
    <row r="488">
      <c r="F488" s="5"/>
      <c r="K488" s="38"/>
    </row>
    <row r="489">
      <c r="F489" s="5"/>
      <c r="K489" s="38"/>
    </row>
    <row r="490">
      <c r="F490" s="5"/>
      <c r="K490" s="38"/>
    </row>
    <row r="491">
      <c r="F491" s="5"/>
      <c r="K491" s="38"/>
    </row>
    <row r="492">
      <c r="F492" s="5"/>
      <c r="K492" s="38"/>
    </row>
    <row r="493">
      <c r="F493" s="5"/>
      <c r="K493" s="38"/>
    </row>
    <row r="494">
      <c r="F494" s="5"/>
      <c r="K494" s="38"/>
    </row>
    <row r="495">
      <c r="F495" s="5"/>
      <c r="K495" s="38"/>
    </row>
    <row r="496">
      <c r="F496" s="5"/>
      <c r="K496" s="38"/>
    </row>
    <row r="497">
      <c r="F497" s="5"/>
      <c r="K497" s="38"/>
    </row>
    <row r="498">
      <c r="F498" s="5"/>
      <c r="K498" s="38"/>
    </row>
    <row r="499">
      <c r="F499" s="5"/>
      <c r="K499" s="38"/>
    </row>
    <row r="500">
      <c r="F500" s="5"/>
      <c r="K500" s="38"/>
    </row>
    <row r="501">
      <c r="F501" s="5"/>
      <c r="K501" s="38"/>
    </row>
    <row r="502">
      <c r="F502" s="5"/>
      <c r="K502" s="38"/>
    </row>
    <row r="503">
      <c r="F503" s="5"/>
      <c r="K503" s="38"/>
    </row>
    <row r="504">
      <c r="F504" s="5"/>
      <c r="K504" s="38"/>
    </row>
    <row r="505">
      <c r="F505" s="5"/>
      <c r="K505" s="38"/>
    </row>
    <row r="506">
      <c r="F506" s="5"/>
      <c r="K506" s="38"/>
    </row>
    <row r="507">
      <c r="F507" s="5"/>
      <c r="K507" s="38"/>
    </row>
    <row r="508">
      <c r="F508" s="5"/>
      <c r="K508" s="38"/>
    </row>
    <row r="509">
      <c r="F509" s="5"/>
      <c r="K509" s="38"/>
    </row>
    <row r="510">
      <c r="F510" s="5"/>
      <c r="K510" s="38"/>
    </row>
    <row r="511">
      <c r="F511" s="5"/>
      <c r="K511" s="38"/>
    </row>
    <row r="512">
      <c r="F512" s="5"/>
      <c r="K512" s="38"/>
    </row>
    <row r="513">
      <c r="F513" s="5"/>
      <c r="K513" s="38"/>
    </row>
    <row r="514">
      <c r="F514" s="5"/>
      <c r="K514" s="38"/>
    </row>
    <row r="515">
      <c r="F515" s="5"/>
      <c r="K515" s="38"/>
    </row>
    <row r="516">
      <c r="F516" s="5"/>
      <c r="K516" s="38"/>
    </row>
    <row r="517">
      <c r="F517" s="5"/>
      <c r="K517" s="38"/>
    </row>
    <row r="518">
      <c r="F518" s="5"/>
      <c r="K518" s="38"/>
    </row>
    <row r="519">
      <c r="F519" s="5"/>
      <c r="K519" s="38"/>
    </row>
    <row r="520">
      <c r="F520" s="5"/>
      <c r="K520" s="38"/>
    </row>
    <row r="521">
      <c r="F521" s="5"/>
      <c r="K521" s="38"/>
    </row>
    <row r="522">
      <c r="F522" s="5"/>
      <c r="K522" s="38"/>
    </row>
    <row r="523">
      <c r="F523" s="5"/>
      <c r="K523" s="38"/>
    </row>
    <row r="524">
      <c r="F524" s="5"/>
      <c r="K524" s="38"/>
    </row>
    <row r="525">
      <c r="F525" s="5"/>
      <c r="K525" s="38"/>
    </row>
    <row r="526">
      <c r="F526" s="5"/>
      <c r="K526" s="38"/>
    </row>
    <row r="527">
      <c r="F527" s="5"/>
      <c r="K527" s="38"/>
    </row>
    <row r="528">
      <c r="F528" s="5"/>
      <c r="K528" s="38"/>
    </row>
    <row r="529">
      <c r="F529" s="5"/>
      <c r="K529" s="38"/>
    </row>
    <row r="530">
      <c r="F530" s="5"/>
      <c r="K530" s="38"/>
    </row>
    <row r="531">
      <c r="F531" s="5"/>
      <c r="K531" s="38"/>
    </row>
    <row r="532">
      <c r="F532" s="5"/>
      <c r="K532" s="38"/>
    </row>
    <row r="533">
      <c r="F533" s="5"/>
      <c r="K533" s="38"/>
    </row>
    <row r="534">
      <c r="F534" s="5"/>
      <c r="K534" s="38"/>
    </row>
    <row r="535">
      <c r="F535" s="5"/>
      <c r="K535" s="38"/>
    </row>
    <row r="536">
      <c r="F536" s="5"/>
      <c r="K536" s="38"/>
    </row>
    <row r="537">
      <c r="F537" s="5"/>
      <c r="K537" s="38"/>
    </row>
    <row r="538">
      <c r="F538" s="5"/>
      <c r="K538" s="38"/>
    </row>
    <row r="539">
      <c r="F539" s="5"/>
      <c r="K539" s="38"/>
    </row>
    <row r="540">
      <c r="F540" s="5"/>
      <c r="K540" s="38"/>
    </row>
    <row r="541">
      <c r="F541" s="5"/>
      <c r="K541" s="38"/>
    </row>
    <row r="542">
      <c r="F542" s="5"/>
      <c r="K542" s="38"/>
    </row>
    <row r="543">
      <c r="F543" s="5"/>
      <c r="K543" s="38"/>
    </row>
    <row r="544">
      <c r="F544" s="5"/>
      <c r="K544" s="38"/>
    </row>
    <row r="545">
      <c r="F545" s="5"/>
      <c r="K545" s="38"/>
    </row>
    <row r="546">
      <c r="F546" s="5"/>
      <c r="K546" s="38"/>
    </row>
    <row r="547">
      <c r="F547" s="5"/>
      <c r="K547" s="38"/>
    </row>
    <row r="548">
      <c r="F548" s="5"/>
      <c r="K548" s="38"/>
    </row>
    <row r="549">
      <c r="F549" s="5"/>
      <c r="K549" s="38"/>
    </row>
    <row r="550">
      <c r="F550" s="5"/>
      <c r="K550" s="38"/>
    </row>
    <row r="551">
      <c r="F551" s="5"/>
      <c r="K551" s="38"/>
    </row>
    <row r="552">
      <c r="F552" s="5"/>
      <c r="K552" s="38"/>
    </row>
    <row r="553">
      <c r="F553" s="5"/>
      <c r="K553" s="38"/>
    </row>
    <row r="554">
      <c r="F554" s="5"/>
      <c r="K554" s="38"/>
    </row>
    <row r="555">
      <c r="F555" s="5"/>
      <c r="K555" s="38"/>
    </row>
    <row r="556">
      <c r="F556" s="5"/>
      <c r="K556" s="38"/>
    </row>
    <row r="557">
      <c r="F557" s="5"/>
      <c r="K557" s="38"/>
    </row>
    <row r="558">
      <c r="F558" s="5"/>
      <c r="K558" s="38"/>
    </row>
    <row r="559">
      <c r="F559" s="5"/>
      <c r="K559" s="38"/>
    </row>
    <row r="560">
      <c r="F560" s="5"/>
      <c r="K560" s="38"/>
    </row>
    <row r="561">
      <c r="F561" s="5"/>
      <c r="K561" s="38"/>
    </row>
    <row r="562">
      <c r="F562" s="5"/>
      <c r="K562" s="38"/>
    </row>
    <row r="563">
      <c r="F563" s="5"/>
      <c r="K563" s="38"/>
    </row>
    <row r="564">
      <c r="F564" s="5"/>
      <c r="K564" s="38"/>
    </row>
    <row r="565">
      <c r="F565" s="5"/>
      <c r="K565" s="38"/>
    </row>
    <row r="566">
      <c r="F566" s="5"/>
      <c r="K566" s="38"/>
    </row>
    <row r="567">
      <c r="F567" s="5"/>
      <c r="K567" s="38"/>
    </row>
    <row r="568">
      <c r="F568" s="5"/>
      <c r="K568" s="38"/>
    </row>
    <row r="569">
      <c r="F569" s="5"/>
      <c r="K569" s="38"/>
    </row>
    <row r="570">
      <c r="F570" s="5"/>
      <c r="K570" s="38"/>
    </row>
    <row r="571">
      <c r="F571" s="5"/>
      <c r="K571" s="38"/>
    </row>
    <row r="572">
      <c r="F572" s="5"/>
      <c r="K572" s="38"/>
    </row>
    <row r="573">
      <c r="F573" s="5"/>
      <c r="K573" s="38"/>
    </row>
    <row r="574">
      <c r="F574" s="5"/>
      <c r="K574" s="38"/>
    </row>
    <row r="575">
      <c r="F575" s="5"/>
      <c r="K575" s="38"/>
    </row>
    <row r="576">
      <c r="F576" s="5"/>
      <c r="K576" s="38"/>
    </row>
    <row r="577">
      <c r="F577" s="5"/>
      <c r="K577" s="38"/>
    </row>
    <row r="578">
      <c r="F578" s="5"/>
      <c r="K578" s="38"/>
    </row>
    <row r="579">
      <c r="F579" s="5"/>
      <c r="K579" s="38"/>
    </row>
    <row r="580">
      <c r="F580" s="5"/>
      <c r="K580" s="38"/>
    </row>
    <row r="581">
      <c r="F581" s="5"/>
      <c r="K581" s="38"/>
    </row>
    <row r="582">
      <c r="F582" s="5"/>
      <c r="K582" s="38"/>
    </row>
    <row r="583">
      <c r="F583" s="5"/>
      <c r="K583" s="38"/>
    </row>
    <row r="584">
      <c r="F584" s="5"/>
      <c r="K584" s="38"/>
    </row>
    <row r="585">
      <c r="F585" s="5"/>
      <c r="K585" s="38"/>
    </row>
    <row r="586">
      <c r="F586" s="5"/>
      <c r="K586" s="38"/>
    </row>
    <row r="587">
      <c r="F587" s="5"/>
      <c r="K587" s="38"/>
    </row>
    <row r="588">
      <c r="F588" s="5"/>
      <c r="K588" s="38"/>
    </row>
    <row r="589">
      <c r="F589" s="5"/>
      <c r="K589" s="38"/>
    </row>
    <row r="590">
      <c r="F590" s="5"/>
      <c r="K590" s="38"/>
    </row>
    <row r="591">
      <c r="F591" s="5"/>
      <c r="K591" s="38"/>
    </row>
    <row r="592">
      <c r="F592" s="5"/>
      <c r="K592" s="38"/>
    </row>
    <row r="593">
      <c r="F593" s="5"/>
      <c r="K593" s="38"/>
    </row>
    <row r="594">
      <c r="F594" s="5"/>
      <c r="K594" s="38"/>
    </row>
    <row r="595">
      <c r="F595" s="5"/>
      <c r="K595" s="38"/>
    </row>
    <row r="596">
      <c r="F596" s="5"/>
      <c r="K596" s="38"/>
    </row>
    <row r="597">
      <c r="F597" s="5"/>
      <c r="K597" s="38"/>
    </row>
    <row r="598">
      <c r="F598" s="5"/>
      <c r="K598" s="38"/>
    </row>
    <row r="599">
      <c r="F599" s="5"/>
      <c r="K599" s="38"/>
    </row>
    <row r="600">
      <c r="F600" s="5"/>
      <c r="K600" s="38"/>
    </row>
    <row r="601">
      <c r="F601" s="5"/>
      <c r="K601" s="38"/>
    </row>
    <row r="602">
      <c r="F602" s="5"/>
      <c r="K602" s="38"/>
    </row>
    <row r="603">
      <c r="F603" s="5"/>
      <c r="K603" s="38"/>
    </row>
    <row r="604">
      <c r="F604" s="5"/>
      <c r="K604" s="38"/>
    </row>
    <row r="605">
      <c r="F605" s="5"/>
      <c r="K605" s="38"/>
    </row>
    <row r="606">
      <c r="F606" s="5"/>
      <c r="K606" s="38"/>
    </row>
    <row r="607">
      <c r="F607" s="5"/>
      <c r="K607" s="38"/>
    </row>
    <row r="608">
      <c r="F608" s="5"/>
      <c r="K608" s="38"/>
    </row>
    <row r="609">
      <c r="F609" s="5"/>
      <c r="K609" s="38"/>
    </row>
    <row r="610">
      <c r="F610" s="5"/>
      <c r="K610" s="38"/>
    </row>
    <row r="611">
      <c r="F611" s="5"/>
      <c r="K611" s="38"/>
    </row>
    <row r="612">
      <c r="F612" s="5"/>
      <c r="K612" s="38"/>
    </row>
    <row r="613">
      <c r="F613" s="5"/>
      <c r="K613" s="38"/>
    </row>
    <row r="614">
      <c r="F614" s="5"/>
      <c r="K614" s="38"/>
    </row>
    <row r="615">
      <c r="F615" s="5"/>
      <c r="K615" s="38"/>
    </row>
    <row r="616">
      <c r="F616" s="5"/>
      <c r="K616" s="38"/>
    </row>
    <row r="617">
      <c r="F617" s="5"/>
      <c r="K617" s="38"/>
    </row>
    <row r="618">
      <c r="F618" s="5"/>
      <c r="K618" s="38"/>
    </row>
    <row r="619">
      <c r="F619" s="5"/>
      <c r="K619" s="38"/>
    </row>
    <row r="620">
      <c r="F620" s="5"/>
      <c r="K620" s="38"/>
    </row>
    <row r="621">
      <c r="K621" s="38"/>
    </row>
    <row r="622">
      <c r="K622" s="38"/>
    </row>
    <row r="623">
      <c r="K623" s="38"/>
    </row>
    <row r="624">
      <c r="K624" s="38"/>
    </row>
    <row r="625">
      <c r="K625" s="38"/>
    </row>
    <row r="626">
      <c r="K626" s="38"/>
    </row>
    <row r="627">
      <c r="K627" s="38"/>
    </row>
    <row r="628">
      <c r="K628" s="38"/>
    </row>
    <row r="629">
      <c r="K629" s="38"/>
    </row>
    <row r="630">
      <c r="K630" s="38"/>
    </row>
    <row r="631">
      <c r="K631" s="38"/>
    </row>
    <row r="632">
      <c r="K632" s="38"/>
    </row>
    <row r="633">
      <c r="K633" s="38"/>
    </row>
    <row r="634">
      <c r="K634" s="38"/>
    </row>
    <row r="635">
      <c r="K635" s="38"/>
    </row>
    <row r="636">
      <c r="K636" s="38"/>
    </row>
    <row r="637">
      <c r="K637" s="38"/>
    </row>
    <row r="638">
      <c r="K638" s="38"/>
    </row>
    <row r="639">
      <c r="K639" s="38"/>
    </row>
    <row r="640">
      <c r="K640" s="38"/>
    </row>
    <row r="641">
      <c r="K641" s="38"/>
    </row>
    <row r="642">
      <c r="K642" s="38"/>
    </row>
    <row r="643">
      <c r="K643" s="38"/>
    </row>
    <row r="644">
      <c r="K644" s="38"/>
    </row>
    <row r="645">
      <c r="K645" s="38"/>
    </row>
    <row r="646">
      <c r="K646" s="38"/>
    </row>
    <row r="647">
      <c r="K647" s="38"/>
    </row>
    <row r="648">
      <c r="K648" s="38"/>
    </row>
    <row r="649">
      <c r="K649" s="38"/>
    </row>
    <row r="650">
      <c r="K650" s="38"/>
    </row>
    <row r="651">
      <c r="K651" s="38"/>
    </row>
    <row r="652">
      <c r="K652" s="38"/>
    </row>
    <row r="653">
      <c r="K653" s="38"/>
    </row>
    <row r="654">
      <c r="K654" s="38"/>
    </row>
    <row r="655">
      <c r="K655" s="38"/>
    </row>
    <row r="656">
      <c r="K656" s="38"/>
    </row>
    <row r="657">
      <c r="K657" s="38"/>
    </row>
    <row r="658">
      <c r="K658" s="38"/>
    </row>
    <row r="659">
      <c r="K659" s="38"/>
    </row>
    <row r="660">
      <c r="K660" s="38"/>
    </row>
    <row r="661">
      <c r="K661" s="38"/>
    </row>
    <row r="662">
      <c r="K662" s="38"/>
    </row>
    <row r="663">
      <c r="K663" s="38"/>
    </row>
    <row r="664">
      <c r="K664" s="38"/>
    </row>
    <row r="665">
      <c r="K665" s="38"/>
    </row>
    <row r="666">
      <c r="K666" s="38"/>
    </row>
    <row r="667">
      <c r="K667" s="38"/>
    </row>
    <row r="668">
      <c r="K668" s="38"/>
    </row>
    <row r="669">
      <c r="K669" s="38"/>
    </row>
    <row r="670">
      <c r="K670" s="38"/>
    </row>
    <row r="671">
      <c r="K671" s="38"/>
    </row>
    <row r="672">
      <c r="K672" s="38"/>
    </row>
    <row r="673">
      <c r="K673" s="38"/>
    </row>
    <row r="674">
      <c r="K674" s="38"/>
    </row>
    <row r="675">
      <c r="K675" s="38"/>
    </row>
    <row r="676">
      <c r="K676" s="38"/>
    </row>
    <row r="677">
      <c r="K677" s="38"/>
    </row>
    <row r="678">
      <c r="K678" s="38"/>
    </row>
    <row r="679">
      <c r="K679" s="38"/>
    </row>
    <row r="680">
      <c r="K680" s="38"/>
    </row>
    <row r="681">
      <c r="K681" s="38"/>
    </row>
    <row r="682">
      <c r="K682" s="38"/>
    </row>
    <row r="683">
      <c r="K683" s="38"/>
    </row>
    <row r="684">
      <c r="K684" s="38"/>
    </row>
    <row r="685">
      <c r="K685" s="38"/>
    </row>
    <row r="686">
      <c r="K686" s="38"/>
    </row>
    <row r="687">
      <c r="K687" s="38"/>
    </row>
    <row r="688">
      <c r="K688" s="38"/>
    </row>
    <row r="689">
      <c r="K689" s="38"/>
    </row>
    <row r="690">
      <c r="K690" s="38"/>
    </row>
    <row r="691">
      <c r="K691" s="38"/>
    </row>
    <row r="692">
      <c r="K692" s="38"/>
    </row>
    <row r="693">
      <c r="K693" s="38"/>
    </row>
    <row r="694">
      <c r="K694" s="38"/>
    </row>
    <row r="695">
      <c r="K695" s="38"/>
    </row>
    <row r="696">
      <c r="K696" s="38"/>
    </row>
    <row r="697">
      <c r="K697" s="38"/>
    </row>
    <row r="698">
      <c r="K698" s="38"/>
    </row>
    <row r="699">
      <c r="K699" s="38"/>
    </row>
    <row r="700">
      <c r="K700" s="38"/>
    </row>
    <row r="701">
      <c r="K701" s="38"/>
    </row>
    <row r="702">
      <c r="K702" s="38"/>
    </row>
    <row r="703">
      <c r="K703" s="38"/>
    </row>
    <row r="704">
      <c r="K704" s="38"/>
    </row>
    <row r="705">
      <c r="K705" s="38"/>
    </row>
    <row r="706">
      <c r="K706" s="38"/>
    </row>
    <row r="707">
      <c r="K707" s="38"/>
    </row>
    <row r="708">
      <c r="K708" s="38"/>
    </row>
    <row r="709">
      <c r="K709" s="38"/>
    </row>
    <row r="710">
      <c r="K710" s="38"/>
    </row>
    <row r="711">
      <c r="K711" s="38"/>
    </row>
    <row r="712">
      <c r="K712" s="38"/>
    </row>
    <row r="713">
      <c r="K713" s="38"/>
    </row>
    <row r="714">
      <c r="K714" s="38"/>
    </row>
    <row r="715">
      <c r="K715" s="38"/>
    </row>
    <row r="716">
      <c r="K716" s="38"/>
    </row>
    <row r="717">
      <c r="K717" s="38"/>
    </row>
    <row r="718">
      <c r="K718" s="38"/>
    </row>
    <row r="719">
      <c r="K719" s="38"/>
    </row>
    <row r="720">
      <c r="K720" s="38"/>
    </row>
    <row r="721">
      <c r="K721" s="38"/>
    </row>
    <row r="722">
      <c r="K722" s="38"/>
    </row>
    <row r="723">
      <c r="K723" s="38"/>
    </row>
    <row r="724">
      <c r="K724" s="38"/>
    </row>
    <row r="725">
      <c r="K725" s="38"/>
    </row>
    <row r="726">
      <c r="K726" s="38"/>
    </row>
    <row r="727">
      <c r="K727" s="38"/>
    </row>
    <row r="728">
      <c r="K728" s="38"/>
    </row>
    <row r="729">
      <c r="K729" s="38"/>
    </row>
    <row r="730">
      <c r="K730" s="38"/>
    </row>
    <row r="731">
      <c r="K731" s="38"/>
    </row>
    <row r="732">
      <c r="K732" s="38"/>
    </row>
    <row r="733">
      <c r="K733" s="38"/>
    </row>
    <row r="734">
      <c r="K734" s="38"/>
    </row>
    <row r="735">
      <c r="K735" s="38"/>
    </row>
    <row r="736">
      <c r="K736" s="38"/>
    </row>
    <row r="737">
      <c r="K737" s="38"/>
    </row>
    <row r="738">
      <c r="K738" s="38"/>
    </row>
    <row r="739">
      <c r="K739" s="38"/>
    </row>
    <row r="740">
      <c r="K740" s="38"/>
    </row>
    <row r="741">
      <c r="K741" s="38"/>
    </row>
    <row r="742">
      <c r="K742" s="38"/>
    </row>
    <row r="743">
      <c r="K743" s="38"/>
    </row>
    <row r="744">
      <c r="K744" s="38"/>
    </row>
    <row r="745">
      <c r="K745" s="38"/>
    </row>
    <row r="746">
      <c r="K746" s="38"/>
    </row>
    <row r="747">
      <c r="K747" s="38"/>
    </row>
    <row r="748">
      <c r="K748" s="38"/>
    </row>
    <row r="749">
      <c r="K749" s="38"/>
    </row>
    <row r="750">
      <c r="K750" s="38"/>
    </row>
    <row r="751">
      <c r="K751" s="38"/>
    </row>
    <row r="752">
      <c r="K752" s="38"/>
    </row>
    <row r="753">
      <c r="K753" s="38"/>
    </row>
    <row r="754">
      <c r="K754" s="38"/>
    </row>
    <row r="755">
      <c r="K755" s="38"/>
    </row>
    <row r="756">
      <c r="K756" s="38"/>
    </row>
    <row r="757">
      <c r="K757" s="38"/>
    </row>
    <row r="758">
      <c r="K758" s="38"/>
    </row>
    <row r="759">
      <c r="K759" s="38"/>
    </row>
    <row r="760">
      <c r="K760" s="38"/>
    </row>
    <row r="761">
      <c r="K761" s="38"/>
    </row>
    <row r="762">
      <c r="K762" s="38"/>
    </row>
    <row r="763">
      <c r="K763" s="38"/>
    </row>
    <row r="764">
      <c r="K764" s="38"/>
    </row>
    <row r="765">
      <c r="K765" s="38"/>
    </row>
    <row r="766">
      <c r="K766" s="38"/>
    </row>
    <row r="767">
      <c r="K767" s="38"/>
    </row>
    <row r="768">
      <c r="K768" s="38"/>
    </row>
    <row r="769">
      <c r="K769" s="38"/>
    </row>
    <row r="770">
      <c r="K770" s="38"/>
    </row>
    <row r="771">
      <c r="K771" s="38"/>
    </row>
    <row r="772">
      <c r="K772" s="38"/>
    </row>
    <row r="773">
      <c r="K773" s="38"/>
    </row>
    <row r="774">
      <c r="K774" s="38"/>
    </row>
    <row r="775">
      <c r="K775" s="38"/>
    </row>
    <row r="776">
      <c r="K776" s="38"/>
    </row>
    <row r="777">
      <c r="K777" s="38"/>
    </row>
    <row r="778">
      <c r="K778" s="38"/>
    </row>
    <row r="779">
      <c r="K779" s="38"/>
    </row>
    <row r="780">
      <c r="K780" s="38"/>
    </row>
    <row r="781">
      <c r="K781" s="38"/>
    </row>
    <row r="782">
      <c r="K782" s="38"/>
    </row>
    <row r="783">
      <c r="K783" s="38"/>
    </row>
    <row r="784">
      <c r="K784" s="38"/>
    </row>
    <row r="785">
      <c r="K785" s="38"/>
    </row>
    <row r="786">
      <c r="K786" s="38"/>
    </row>
    <row r="787">
      <c r="K787" s="38"/>
    </row>
    <row r="788">
      <c r="K788" s="38"/>
    </row>
    <row r="789">
      <c r="K789" s="38"/>
    </row>
    <row r="790">
      <c r="K790" s="38"/>
    </row>
    <row r="791">
      <c r="K791" s="38"/>
    </row>
    <row r="792">
      <c r="K792" s="38"/>
    </row>
    <row r="793">
      <c r="K793" s="38"/>
    </row>
    <row r="794">
      <c r="K794" s="38"/>
    </row>
    <row r="795">
      <c r="K795" s="38"/>
    </row>
    <row r="796">
      <c r="K796" s="38"/>
    </row>
    <row r="797">
      <c r="K797" s="38"/>
    </row>
    <row r="798">
      <c r="K798" s="38"/>
    </row>
    <row r="799">
      <c r="K799" s="38"/>
    </row>
    <row r="800">
      <c r="K800" s="38"/>
    </row>
    <row r="801">
      <c r="K801" s="38"/>
    </row>
    <row r="802">
      <c r="K802" s="38"/>
    </row>
    <row r="803">
      <c r="K803" s="38"/>
    </row>
    <row r="804">
      <c r="K804" s="38"/>
    </row>
    <row r="805">
      <c r="K805" s="38"/>
    </row>
    <row r="806">
      <c r="K806" s="38"/>
    </row>
    <row r="807">
      <c r="K807" s="38"/>
    </row>
    <row r="808">
      <c r="K808" s="38"/>
    </row>
    <row r="809">
      <c r="K809" s="38"/>
    </row>
    <row r="810">
      <c r="K810" s="38"/>
    </row>
    <row r="811">
      <c r="K811" s="38"/>
    </row>
    <row r="812">
      <c r="K812" s="38"/>
    </row>
    <row r="813">
      <c r="K813" s="38"/>
    </row>
    <row r="814">
      <c r="K814" s="38"/>
    </row>
    <row r="815">
      <c r="K815" s="38"/>
    </row>
    <row r="816">
      <c r="K816" s="38"/>
    </row>
    <row r="817">
      <c r="K817" s="38"/>
    </row>
    <row r="818">
      <c r="K818" s="38"/>
    </row>
    <row r="819">
      <c r="K819" s="38"/>
    </row>
    <row r="820">
      <c r="K820" s="38"/>
    </row>
    <row r="821">
      <c r="K821" s="38"/>
    </row>
    <row r="822">
      <c r="K822" s="38"/>
    </row>
    <row r="823">
      <c r="K823" s="38"/>
    </row>
    <row r="824">
      <c r="K824" s="38"/>
    </row>
    <row r="825">
      <c r="K825" s="38"/>
    </row>
    <row r="826">
      <c r="K826" s="38"/>
    </row>
    <row r="827">
      <c r="K827" s="38"/>
    </row>
    <row r="828">
      <c r="K828" s="38"/>
    </row>
    <row r="829">
      <c r="K829" s="38"/>
    </row>
    <row r="830">
      <c r="K830" s="38"/>
    </row>
    <row r="831">
      <c r="K831" s="38"/>
    </row>
    <row r="832">
      <c r="K832" s="38"/>
    </row>
    <row r="833">
      <c r="K833" s="38"/>
    </row>
    <row r="834">
      <c r="K834" s="38"/>
    </row>
    <row r="835">
      <c r="K835" s="38"/>
    </row>
    <row r="836">
      <c r="K836" s="38"/>
    </row>
    <row r="837">
      <c r="K837" s="38"/>
    </row>
    <row r="838">
      <c r="K838" s="38"/>
    </row>
    <row r="839">
      <c r="K839" s="38"/>
    </row>
    <row r="840">
      <c r="K840" s="38"/>
    </row>
    <row r="841">
      <c r="K841" s="38"/>
    </row>
    <row r="842">
      <c r="K842" s="38"/>
    </row>
    <row r="843">
      <c r="K843" s="38"/>
    </row>
    <row r="844">
      <c r="K844" s="38"/>
    </row>
    <row r="845">
      <c r="K845" s="38"/>
    </row>
    <row r="846">
      <c r="K846" s="38"/>
    </row>
    <row r="847">
      <c r="K847" s="38"/>
    </row>
    <row r="848">
      <c r="K848" s="38"/>
    </row>
    <row r="849">
      <c r="K849" s="38"/>
    </row>
    <row r="850">
      <c r="K850" s="38"/>
    </row>
    <row r="851">
      <c r="K851" s="38"/>
    </row>
    <row r="852">
      <c r="K852" s="38"/>
    </row>
    <row r="853">
      <c r="K853" s="38"/>
    </row>
    <row r="854">
      <c r="K854" s="38"/>
    </row>
    <row r="855">
      <c r="K855" s="38"/>
    </row>
    <row r="856">
      <c r="K856" s="38"/>
    </row>
    <row r="857">
      <c r="K857" s="38"/>
    </row>
    <row r="858">
      <c r="K858" s="38"/>
    </row>
    <row r="859">
      <c r="K859" s="38"/>
    </row>
    <row r="860">
      <c r="K860" s="38"/>
    </row>
    <row r="861">
      <c r="K861" s="38"/>
    </row>
    <row r="862">
      <c r="K862" s="38"/>
    </row>
    <row r="863">
      <c r="K863" s="38"/>
    </row>
    <row r="864">
      <c r="K864" s="38"/>
    </row>
    <row r="865">
      <c r="K865" s="38"/>
    </row>
    <row r="866">
      <c r="K866" s="38"/>
    </row>
    <row r="867">
      <c r="K867" s="38"/>
    </row>
    <row r="868">
      <c r="K868" s="38"/>
    </row>
    <row r="869">
      <c r="K869" s="38"/>
    </row>
    <row r="870">
      <c r="K870" s="38"/>
    </row>
    <row r="871">
      <c r="K871" s="38"/>
    </row>
    <row r="872">
      <c r="K872" s="38"/>
    </row>
    <row r="873">
      <c r="K873" s="38"/>
    </row>
    <row r="874">
      <c r="K874" s="38"/>
    </row>
    <row r="875">
      <c r="K875" s="38"/>
    </row>
    <row r="876">
      <c r="K876" s="38"/>
    </row>
    <row r="877">
      <c r="K877" s="38"/>
    </row>
    <row r="878">
      <c r="K878" s="38"/>
    </row>
    <row r="879">
      <c r="K879" s="38"/>
    </row>
    <row r="880">
      <c r="K880" s="38"/>
    </row>
    <row r="881">
      <c r="K881" s="38"/>
    </row>
    <row r="882">
      <c r="K882" s="38"/>
    </row>
    <row r="883">
      <c r="K883" s="38"/>
    </row>
    <row r="884">
      <c r="K884" s="38"/>
    </row>
    <row r="885">
      <c r="K885" s="38"/>
    </row>
    <row r="886">
      <c r="K886" s="38"/>
    </row>
    <row r="887">
      <c r="K887" s="38"/>
    </row>
    <row r="888">
      <c r="K888" s="38"/>
    </row>
    <row r="889">
      <c r="K889" s="38"/>
    </row>
    <row r="890">
      <c r="K890" s="38"/>
    </row>
    <row r="891">
      <c r="K891" s="38"/>
    </row>
    <row r="892">
      <c r="K892" s="38"/>
    </row>
    <row r="893">
      <c r="K893" s="38"/>
    </row>
    <row r="894">
      <c r="K894" s="38"/>
    </row>
    <row r="895">
      <c r="K895" s="38"/>
    </row>
    <row r="896">
      <c r="K896" s="38"/>
    </row>
    <row r="897">
      <c r="K897" s="38"/>
    </row>
    <row r="898">
      <c r="K898" s="38"/>
    </row>
    <row r="899">
      <c r="K899" s="38"/>
    </row>
    <row r="900">
      <c r="K900" s="38"/>
    </row>
    <row r="901">
      <c r="K901" s="38"/>
    </row>
    <row r="902">
      <c r="K902" s="38"/>
    </row>
    <row r="903">
      <c r="K903" s="38"/>
    </row>
    <row r="904">
      <c r="K904" s="38"/>
    </row>
    <row r="905">
      <c r="K905" s="38"/>
    </row>
    <row r="906">
      <c r="K906" s="38"/>
    </row>
    <row r="907">
      <c r="K907" s="38"/>
    </row>
    <row r="908">
      <c r="K908" s="38"/>
    </row>
    <row r="909">
      <c r="K909" s="38"/>
    </row>
    <row r="910">
      <c r="K910" s="38"/>
    </row>
    <row r="911">
      <c r="K911" s="38"/>
    </row>
    <row r="912">
      <c r="K912" s="38"/>
    </row>
    <row r="913">
      <c r="K913" s="38"/>
    </row>
    <row r="914">
      <c r="K914" s="38"/>
    </row>
    <row r="915">
      <c r="K915" s="38"/>
    </row>
    <row r="916">
      <c r="K916" s="38"/>
    </row>
    <row r="917">
      <c r="K917" s="38"/>
    </row>
    <row r="918">
      <c r="K918" s="38"/>
    </row>
    <row r="919">
      <c r="K919" s="38"/>
    </row>
    <row r="920">
      <c r="K920" s="38"/>
    </row>
    <row r="921">
      <c r="K921" s="38"/>
    </row>
    <row r="922">
      <c r="K922" s="38"/>
    </row>
    <row r="923">
      <c r="K923" s="38"/>
    </row>
    <row r="924">
      <c r="K924" s="38"/>
    </row>
    <row r="925">
      <c r="K925" s="38"/>
    </row>
    <row r="926">
      <c r="K926" s="38"/>
    </row>
    <row r="927">
      <c r="K927" s="38"/>
    </row>
    <row r="928">
      <c r="K928" s="38"/>
    </row>
    <row r="929">
      <c r="K929" s="38"/>
    </row>
    <row r="930">
      <c r="K930" s="38"/>
    </row>
    <row r="931">
      <c r="K931" s="38"/>
    </row>
    <row r="932">
      <c r="K932" s="38"/>
    </row>
    <row r="933">
      <c r="K933" s="38"/>
    </row>
    <row r="934">
      <c r="K934" s="38"/>
    </row>
    <row r="935">
      <c r="K935" s="38"/>
    </row>
    <row r="936">
      <c r="K936" s="38"/>
    </row>
    <row r="937">
      <c r="K937" s="38"/>
    </row>
    <row r="938">
      <c r="K938" s="38"/>
    </row>
    <row r="939">
      <c r="K939" s="38"/>
    </row>
    <row r="940">
      <c r="K940" s="38"/>
    </row>
    <row r="941">
      <c r="K941" s="38"/>
    </row>
    <row r="942">
      <c r="K942" s="38"/>
    </row>
    <row r="943">
      <c r="K943" s="38"/>
    </row>
    <row r="944">
      <c r="K944" s="38"/>
    </row>
    <row r="945">
      <c r="K945" s="38"/>
    </row>
    <row r="946">
      <c r="K946" s="38"/>
    </row>
    <row r="947">
      <c r="K947" s="38"/>
    </row>
    <row r="948">
      <c r="K948" s="38"/>
    </row>
    <row r="949">
      <c r="K949" s="38"/>
    </row>
    <row r="950">
      <c r="K950" s="38"/>
    </row>
    <row r="951">
      <c r="K951" s="38"/>
    </row>
    <row r="952">
      <c r="K952" s="38"/>
    </row>
    <row r="953">
      <c r="K953" s="38"/>
    </row>
    <row r="954">
      <c r="K954" s="38"/>
    </row>
    <row r="955">
      <c r="K955" s="38"/>
    </row>
    <row r="956">
      <c r="K956" s="38"/>
    </row>
    <row r="957">
      <c r="K957" s="38"/>
    </row>
    <row r="958">
      <c r="K958" s="38"/>
    </row>
    <row r="959">
      <c r="K959" s="38"/>
    </row>
    <row r="960">
      <c r="K960" s="38"/>
    </row>
    <row r="961">
      <c r="K961" s="38"/>
    </row>
    <row r="962">
      <c r="K962" s="38"/>
    </row>
    <row r="963">
      <c r="K963" s="38"/>
    </row>
    <row r="964">
      <c r="K964" s="38"/>
    </row>
    <row r="965">
      <c r="K965" s="38"/>
    </row>
    <row r="966">
      <c r="K966" s="38"/>
    </row>
    <row r="967">
      <c r="K967" s="38"/>
    </row>
    <row r="968">
      <c r="K968" s="38"/>
    </row>
    <row r="969">
      <c r="K969" s="38"/>
    </row>
    <row r="970">
      <c r="K970" s="38"/>
    </row>
    <row r="971">
      <c r="K971" s="38"/>
    </row>
    <row r="972">
      <c r="K972" s="38"/>
    </row>
    <row r="973">
      <c r="K973" s="38"/>
    </row>
    <row r="974">
      <c r="K974" s="38"/>
    </row>
    <row r="975">
      <c r="K975" s="38"/>
    </row>
    <row r="976">
      <c r="K976" s="38"/>
    </row>
    <row r="977">
      <c r="K977" s="38"/>
    </row>
    <row r="978">
      <c r="K978" s="38"/>
    </row>
    <row r="979">
      <c r="K979" s="38"/>
    </row>
    <row r="980">
      <c r="K980" s="38"/>
    </row>
    <row r="981">
      <c r="K981" s="38"/>
    </row>
    <row r="982">
      <c r="K982" s="38"/>
    </row>
    <row r="983">
      <c r="K983" s="38"/>
    </row>
    <row r="984">
      <c r="K984" s="38"/>
    </row>
    <row r="985">
      <c r="K985" s="3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75"/>
    <col customWidth="1" min="2" max="2" width="31.75"/>
  </cols>
  <sheetData>
    <row r="1">
      <c r="A1" s="2" t="s">
        <v>459</v>
      </c>
      <c r="B1" s="2" t="s">
        <v>460</v>
      </c>
      <c r="C1" s="39" t="s">
        <v>461</v>
      </c>
      <c r="D1" s="39" t="s">
        <v>462</v>
      </c>
      <c r="E1" s="39" t="s">
        <v>463</v>
      </c>
      <c r="F1" s="39" t="s">
        <v>464</v>
      </c>
      <c r="G1" s="39" t="s">
        <v>465</v>
      </c>
      <c r="H1" s="39" t="s">
        <v>466</v>
      </c>
      <c r="I1" s="40" t="s">
        <v>467</v>
      </c>
      <c r="J1" s="40" t="s">
        <v>468</v>
      </c>
      <c r="K1" s="40" t="s">
        <v>469</v>
      </c>
      <c r="L1" s="40" t="s">
        <v>470</v>
      </c>
      <c r="M1" s="40" t="s">
        <v>471</v>
      </c>
      <c r="N1" s="40" t="s">
        <v>472</v>
      </c>
      <c r="O1" s="40" t="s">
        <v>473</v>
      </c>
      <c r="P1" s="40" t="s">
        <v>474</v>
      </c>
      <c r="Q1" s="40" t="s">
        <v>475</v>
      </c>
      <c r="R1" s="40" t="s">
        <v>476</v>
      </c>
      <c r="S1" s="40" t="s">
        <v>477</v>
      </c>
      <c r="T1" s="40" t="s">
        <v>478</v>
      </c>
      <c r="U1" s="40" t="s">
        <v>479</v>
      </c>
      <c r="V1" s="40" t="s">
        <v>480</v>
      </c>
      <c r="W1" s="40" t="s">
        <v>481</v>
      </c>
      <c r="X1" s="40" t="s">
        <v>482</v>
      </c>
      <c r="Y1" s="40" t="s">
        <v>483</v>
      </c>
      <c r="Z1" s="40" t="s">
        <v>484</v>
      </c>
      <c r="AA1" s="40" t="s">
        <v>485</v>
      </c>
    </row>
    <row r="2">
      <c r="A2" s="12">
        <f t="array" ref="A2:A26">SEQUENCE(COUNTA(B2:B1000), 1)</f>
        <v>1</v>
      </c>
      <c r="B2" s="12" t="str">
        <f>IFERROR(__xludf.DUMMYFUNCTION("IMPORTRANGE(""1EWAyFUh-4BIocyOg2S5J_ZNLIs7z_Xy5SDe6w_IucEk"",""Alumnos!A2:A"")"),"ALVAREZ, Abril Alejandra")</f>
        <v>ALVAREZ, Abril Alejandra</v>
      </c>
      <c r="C2" s="15">
        <f>IFERROR(__xludf.DUMMYFUNCTION("IFERROR(MAX(FILTER(Notas_Finales!$D:$D, Notas_Finales!$A:$A = $B2, VALUE(Notas_Finales!$B:$B) &amp; ""/"" &amp; Notas_Finales!$C:$C = C$1)), ""x"")"),10.0)</f>
        <v>10</v>
      </c>
      <c r="D2" s="15" t="str">
        <f>IFERROR(__xludf.DUMMYFUNCTION("IFERROR(MAX(FILTER(Notas_Finales!$D:$D, Notas_Finales!$A:$A = $B2, VALUE(Notas_Finales!$B:$B) &amp; ""/"" &amp; Notas_Finales!$C:$C = D$1)), ""x"")"),"x")</f>
        <v>x</v>
      </c>
      <c r="E2" s="15" t="str">
        <f>IFERROR(__xludf.DUMMYFUNCTION("IFERROR(MAX(FILTER(Notas_Finales!$D:$D, Notas_Finales!$A:$A = $B2, VALUE(Notas_Finales!$B:$B) &amp; ""/"" &amp; Notas_Finales!$C:$C = E$1)), ""x"")"),"x")</f>
        <v>x</v>
      </c>
      <c r="F2" s="15" t="str">
        <f>IFERROR(__xludf.DUMMYFUNCTION("IFERROR(MAX(FILTER(Notas_Finales!$D:$D, Notas_Finales!$A:$A = $B2, VALUE(Notas_Finales!$B:$B) &amp; ""/"" &amp; Notas_Finales!$C:$C = F$1)), ""x"")"),"x")</f>
        <v>x</v>
      </c>
      <c r="G2" s="15" t="str">
        <f>IFERROR(__xludf.DUMMYFUNCTION("IFERROR(MAX(FILTER(Notas_Finales!$D:$D, Notas_Finales!$A:$A = $B2, VALUE(Notas_Finales!$B:$B) &amp; ""/"" &amp; Notas_Finales!$C:$C = G$1)), ""x"")"),"x")</f>
        <v>x</v>
      </c>
      <c r="H2" s="15" t="str">
        <f>IFERROR(__xludf.DUMMYFUNCTION("IFERROR(MAX(FILTER(Notas_Finales!$D:$D, Notas_Finales!$A:$A = $B2, VALUE(Notas_Finales!$B:$B) &amp; ""/"" &amp; Notas_Finales!$C:$C = H$1)), ""x"")"),"x")</f>
        <v>x</v>
      </c>
      <c r="I2" s="15" t="str">
        <f>IFERROR(__xludf.DUMMYFUNCTION("IFERROR(MAX(FILTER(Notas_Finales!$D:$D, Notas_Finales!$A:$A = $B2, VALUE(Notas_Finales!$B:$B) &amp; ""/"" &amp; Notas_Finales!$C:$C = I$1)), ""x"")"),"x")</f>
        <v>x</v>
      </c>
      <c r="J2" s="15" t="str">
        <f>IFERROR(__xludf.DUMMYFUNCTION("IFERROR(MAX(FILTER(Notas_Finales!$D:$D, Notas_Finales!$A:$A = $B2, VALUE(Notas_Finales!$B:$B) &amp; ""/"" &amp; Notas_Finales!$C:$C = J$1)), ""x"")"),"x")</f>
        <v>x</v>
      </c>
      <c r="K2" s="15" t="str">
        <f>IFERROR(__xludf.DUMMYFUNCTION("IFERROR(MAX(FILTER(Notas_Finales!$D:$D, Notas_Finales!$A:$A = $B2, VALUE(Notas_Finales!$B:$B) &amp; ""/"" &amp; Notas_Finales!$C:$C = K$1)), ""x"")"),"x")</f>
        <v>x</v>
      </c>
      <c r="L2" s="15" t="str">
        <f>IFERROR(__xludf.DUMMYFUNCTION("IFERROR(MAX(FILTER(Notas_Finales!$D:$D, Notas_Finales!$A:$A = $B2, VALUE(Notas_Finales!$B:$B) &amp; ""/"" &amp; Notas_Finales!$C:$C = L$1)), ""x"")"),"x")</f>
        <v>x</v>
      </c>
      <c r="M2" s="15" t="str">
        <f>IFERROR(__xludf.DUMMYFUNCTION("IFERROR(MAX(FILTER(Notas_Finales!$D:$D, Notas_Finales!$A:$A = $B2, VALUE(Notas_Finales!$B:$B) &amp; ""/"" &amp; Notas_Finales!$C:$C = M$1)), ""x"")"),"x")</f>
        <v>x</v>
      </c>
      <c r="N2" s="15" t="str">
        <f>IFERROR(__xludf.DUMMYFUNCTION("IFERROR(MAX(FILTER(Notas_Finales!$D:$D, Notas_Finales!$A:$A = $B2, VALUE(Notas_Finales!$B:$B) &amp; ""/"" &amp; Notas_Finales!$C:$C = N$1)), ""x"")"),"x")</f>
        <v>x</v>
      </c>
      <c r="O2" s="15" t="str">
        <f>IFERROR(__xludf.DUMMYFUNCTION("IFERROR(MAX(FILTER(Notas_Finales!$D:$D, Notas_Finales!$A:$A = $B2, VALUE(Notas_Finales!$B:$B) &amp; ""/"" &amp; Notas_Finales!$C:$C = O$1)), ""x"")"),"x")</f>
        <v>x</v>
      </c>
      <c r="P2" s="15" t="str">
        <f>IFERROR(__xludf.DUMMYFUNCTION("IFERROR(MAX(FILTER(Notas_Finales!$D:$D, Notas_Finales!$A:$A = $B2, VALUE(Notas_Finales!$B:$B) &amp; ""/"" &amp; Notas_Finales!$C:$C = P$1)), ""x"")"),"x")</f>
        <v>x</v>
      </c>
      <c r="Q2" s="15" t="str">
        <f>IFERROR(__xludf.DUMMYFUNCTION("IFERROR(MAX(FILTER(Notas_Finales!$D:$D, Notas_Finales!$A:$A = $B2, VALUE(Notas_Finales!$B:$B) &amp; ""/"" &amp; Notas_Finales!$C:$C = Q$1)), ""x"")"),"x")</f>
        <v>x</v>
      </c>
      <c r="R2" s="15" t="str">
        <f>IFERROR(__xludf.DUMMYFUNCTION("IFERROR(MAX(FILTER(Notas_Finales!$D:$D, Notas_Finales!$A:$A = $B2, VALUE(Notas_Finales!$B:$B) &amp; ""/"" &amp; Notas_Finales!$C:$C = R$1)), ""x"")"),"x")</f>
        <v>x</v>
      </c>
      <c r="S2" s="15" t="str">
        <f>IFERROR(__xludf.DUMMYFUNCTION("IFERROR(MAX(FILTER(Notas_Finales!$D:$D, Notas_Finales!$A:$A = $B2, VALUE(Notas_Finales!$B:$B) &amp; ""/"" &amp; Notas_Finales!$C:$C = S$1)), ""x"")"),"x")</f>
        <v>x</v>
      </c>
      <c r="T2" s="15" t="str">
        <f>IFERROR(__xludf.DUMMYFUNCTION("IFERROR(MAX(FILTER(Notas_Finales!$D:$D, Notas_Finales!$A:$A = $B2, VALUE(Notas_Finales!$B:$B) &amp; ""/"" &amp; Notas_Finales!$C:$C = T$1)), ""x"")"),"x")</f>
        <v>x</v>
      </c>
      <c r="U2" s="15" t="str">
        <f>IFERROR(__xludf.DUMMYFUNCTION("IFERROR(MAX(FILTER(Notas_Finales!$D:$D, Notas_Finales!$A:$A = $B2, VALUE(Notas_Finales!$B:$B) &amp; ""/"" &amp; Notas_Finales!$C:$C = U$1)), ""x"")"),"x")</f>
        <v>x</v>
      </c>
      <c r="V2" s="15" t="str">
        <f>IFERROR(__xludf.DUMMYFUNCTION("IFERROR(MAX(FILTER(Notas_Finales!$D:$D, Notas_Finales!$A:$A = $B2, VALUE(Notas_Finales!$B:$B) &amp; ""/"" &amp; Notas_Finales!$C:$C = V$1)), ""x"")"),"x")</f>
        <v>x</v>
      </c>
      <c r="W2" s="15" t="str">
        <f>IFERROR(__xludf.DUMMYFUNCTION("IFERROR(MAX(FILTER(Notas_Finales!$D:$D, Notas_Finales!$A:$A = $B2, VALUE(Notas_Finales!$B:$B) &amp; ""/"" &amp; Notas_Finales!$C:$C = W$1)), ""x"")"),"x")</f>
        <v>x</v>
      </c>
      <c r="X2" s="15" t="str">
        <f>IFERROR(__xludf.DUMMYFUNCTION("IFERROR(MAX(FILTER(Notas_Finales!$D:$D, Notas_Finales!$A:$A = $B2, VALUE(Notas_Finales!$B:$B) &amp; ""/"" &amp; Notas_Finales!$C:$C = X$1)), ""x"")"),"x")</f>
        <v>x</v>
      </c>
      <c r="Y2" s="15" t="str">
        <f>IFERROR(__xludf.DUMMYFUNCTION("IFERROR(MAX(FILTER(Notas_Finales!$D:$D, Notas_Finales!$A:$A = $B2, VALUE(Notas_Finales!$B:$B) &amp; ""/"" &amp; Notas_Finales!$C:$C = Y$1)), ""x"")"),"x")</f>
        <v>x</v>
      </c>
      <c r="Z2" s="15" t="str">
        <f>IFERROR(__xludf.DUMMYFUNCTION("IFERROR(MAX(FILTER(Notas_Finales!$D:$D, Notas_Finales!$A:$A = $B2, VALUE(Notas_Finales!$B:$B) &amp; ""/"" &amp; Notas_Finales!$C:$C = Z$1)), ""x"")"),"x")</f>
        <v>x</v>
      </c>
      <c r="AA2" s="15" t="str">
        <f>IFERROR(__xludf.DUMMYFUNCTION("IFERROR(MAX(FILTER(Notas_Finales!$D:$D, Notas_Finales!$A:$A = $B2, VALUE(Notas_Finales!$B:$B) &amp; ""/"" &amp; Notas_Finales!$C:$C = AA$1)), ""x"")"),"x")</f>
        <v>x</v>
      </c>
    </row>
    <row r="3">
      <c r="A3" s="12">
        <v>2.0</v>
      </c>
      <c r="B3" s="12" t="str">
        <f>IFERROR(__xludf.DUMMYFUNCTION("""COMPUTED_VALUE"""),"ALVAREZ RUBIERA, Juan Martin")</f>
        <v>ALVAREZ RUBIERA, Juan Martin</v>
      </c>
      <c r="C3" s="15">
        <f>IFERROR(__xludf.DUMMYFUNCTION("IFERROR(MAX(FILTER(Notas_Finales!$D:$D, Notas_Finales!$A:$A = $B3, VALUE(Notas_Finales!$B:$B) &amp; ""/"" &amp; Notas_Finales!$C:$C = C$1)), ""x"")"),10.0)</f>
        <v>10</v>
      </c>
      <c r="D3" s="15" t="str">
        <f>IFERROR(__xludf.DUMMYFUNCTION("IFERROR(MAX(FILTER(Notas_Finales!$D:$D, Notas_Finales!$A:$A = $B3, VALUE(Notas_Finales!$B:$B) &amp; ""/"" &amp; Notas_Finales!$C:$C = D$1)), ""x"")"),"x")</f>
        <v>x</v>
      </c>
      <c r="E3" s="15" t="str">
        <f>IFERROR(__xludf.DUMMYFUNCTION("IFERROR(MAX(FILTER(Notas_Finales!$D:$D, Notas_Finales!$A:$A = $B3, VALUE(Notas_Finales!$B:$B) &amp; ""/"" &amp; Notas_Finales!$C:$C = E$1)), ""x"")"),"x")</f>
        <v>x</v>
      </c>
      <c r="F3" s="15" t="str">
        <f>IFERROR(__xludf.DUMMYFUNCTION("IFERROR(MAX(FILTER(Notas_Finales!$D:$D, Notas_Finales!$A:$A = $B3, VALUE(Notas_Finales!$B:$B) &amp; ""/"" &amp; Notas_Finales!$C:$C = F$1)), ""x"")"),"x")</f>
        <v>x</v>
      </c>
      <c r="G3" s="15" t="str">
        <f>IFERROR(__xludf.DUMMYFUNCTION("IFERROR(MAX(FILTER(Notas_Finales!$D:$D, Notas_Finales!$A:$A = $B3, VALUE(Notas_Finales!$B:$B) &amp; ""/"" &amp; Notas_Finales!$C:$C = G$1)), ""x"")"),"x")</f>
        <v>x</v>
      </c>
      <c r="H3" s="15" t="str">
        <f>IFERROR(__xludf.DUMMYFUNCTION("IFERROR(MAX(FILTER(Notas_Finales!$D:$D, Notas_Finales!$A:$A = $B3, VALUE(Notas_Finales!$B:$B) &amp; ""/"" &amp; Notas_Finales!$C:$C = H$1)), ""x"")"),"x")</f>
        <v>x</v>
      </c>
      <c r="I3" s="15" t="str">
        <f>IFERROR(__xludf.DUMMYFUNCTION("IFERROR(MAX(FILTER(Notas_Finales!$D:$D, Notas_Finales!$A:$A = $B3, VALUE(Notas_Finales!$B:$B) &amp; ""/"" &amp; Notas_Finales!$C:$C = I$1)), ""x"")"),"x")</f>
        <v>x</v>
      </c>
      <c r="J3" s="15" t="str">
        <f>IFERROR(__xludf.DUMMYFUNCTION("IFERROR(MAX(FILTER(Notas_Finales!$D:$D, Notas_Finales!$A:$A = $B3, VALUE(Notas_Finales!$B:$B) &amp; ""/"" &amp; Notas_Finales!$C:$C = J$1)), ""x"")"),"x")</f>
        <v>x</v>
      </c>
      <c r="K3" s="15" t="str">
        <f>IFERROR(__xludf.DUMMYFUNCTION("IFERROR(MAX(FILTER(Notas_Finales!$D:$D, Notas_Finales!$A:$A = $B3, VALUE(Notas_Finales!$B:$B) &amp; ""/"" &amp; Notas_Finales!$C:$C = K$1)), ""x"")"),"x")</f>
        <v>x</v>
      </c>
      <c r="L3" s="15" t="str">
        <f>IFERROR(__xludf.DUMMYFUNCTION("IFERROR(MAX(FILTER(Notas_Finales!$D:$D, Notas_Finales!$A:$A = $B3, VALUE(Notas_Finales!$B:$B) &amp; ""/"" &amp; Notas_Finales!$C:$C = L$1)), ""x"")"),"x")</f>
        <v>x</v>
      </c>
      <c r="M3" s="15" t="str">
        <f>IFERROR(__xludf.DUMMYFUNCTION("IFERROR(MAX(FILTER(Notas_Finales!$D:$D, Notas_Finales!$A:$A = $B3, VALUE(Notas_Finales!$B:$B) &amp; ""/"" &amp; Notas_Finales!$C:$C = M$1)), ""x"")"),"x")</f>
        <v>x</v>
      </c>
      <c r="N3" s="15" t="str">
        <f>IFERROR(__xludf.DUMMYFUNCTION("IFERROR(MAX(FILTER(Notas_Finales!$D:$D, Notas_Finales!$A:$A = $B3, VALUE(Notas_Finales!$B:$B) &amp; ""/"" &amp; Notas_Finales!$C:$C = N$1)), ""x"")"),"x")</f>
        <v>x</v>
      </c>
      <c r="O3" s="15" t="str">
        <f>IFERROR(__xludf.DUMMYFUNCTION("IFERROR(MAX(FILTER(Notas_Finales!$D:$D, Notas_Finales!$A:$A = $B3, VALUE(Notas_Finales!$B:$B) &amp; ""/"" &amp; Notas_Finales!$C:$C = O$1)), ""x"")"),"x")</f>
        <v>x</v>
      </c>
      <c r="P3" s="15" t="str">
        <f>IFERROR(__xludf.DUMMYFUNCTION("IFERROR(MAX(FILTER(Notas_Finales!$D:$D, Notas_Finales!$A:$A = $B3, VALUE(Notas_Finales!$B:$B) &amp; ""/"" &amp; Notas_Finales!$C:$C = P$1)), ""x"")"),"x")</f>
        <v>x</v>
      </c>
      <c r="Q3" s="15" t="str">
        <f>IFERROR(__xludf.DUMMYFUNCTION("IFERROR(MAX(FILTER(Notas_Finales!$D:$D, Notas_Finales!$A:$A = $B3, VALUE(Notas_Finales!$B:$B) &amp; ""/"" &amp; Notas_Finales!$C:$C = Q$1)), ""x"")"),"x")</f>
        <v>x</v>
      </c>
      <c r="R3" s="15" t="str">
        <f>IFERROR(__xludf.DUMMYFUNCTION("IFERROR(MAX(FILTER(Notas_Finales!$D:$D, Notas_Finales!$A:$A = $B3, VALUE(Notas_Finales!$B:$B) &amp; ""/"" &amp; Notas_Finales!$C:$C = R$1)), ""x"")"),"x")</f>
        <v>x</v>
      </c>
      <c r="S3" s="15" t="str">
        <f>IFERROR(__xludf.DUMMYFUNCTION("IFERROR(MAX(FILTER(Notas_Finales!$D:$D, Notas_Finales!$A:$A = $B3, VALUE(Notas_Finales!$B:$B) &amp; ""/"" &amp; Notas_Finales!$C:$C = S$1)), ""x"")"),"x")</f>
        <v>x</v>
      </c>
      <c r="T3" s="15" t="str">
        <f>IFERROR(__xludf.DUMMYFUNCTION("IFERROR(MAX(FILTER(Notas_Finales!$D:$D, Notas_Finales!$A:$A = $B3, VALUE(Notas_Finales!$B:$B) &amp; ""/"" &amp; Notas_Finales!$C:$C = T$1)), ""x"")"),"x")</f>
        <v>x</v>
      </c>
      <c r="U3" s="15" t="str">
        <f>IFERROR(__xludf.DUMMYFUNCTION("IFERROR(MAX(FILTER(Notas_Finales!$D:$D, Notas_Finales!$A:$A = $B3, VALUE(Notas_Finales!$B:$B) &amp; ""/"" &amp; Notas_Finales!$C:$C = U$1)), ""x"")"),"x")</f>
        <v>x</v>
      </c>
      <c r="V3" s="15" t="str">
        <f>IFERROR(__xludf.DUMMYFUNCTION("IFERROR(MAX(FILTER(Notas_Finales!$D:$D, Notas_Finales!$A:$A = $B3, VALUE(Notas_Finales!$B:$B) &amp; ""/"" &amp; Notas_Finales!$C:$C = V$1)), ""x"")"),"x")</f>
        <v>x</v>
      </c>
      <c r="W3" s="15" t="str">
        <f>IFERROR(__xludf.DUMMYFUNCTION("IFERROR(MAX(FILTER(Notas_Finales!$D:$D, Notas_Finales!$A:$A = $B3, VALUE(Notas_Finales!$B:$B) &amp; ""/"" &amp; Notas_Finales!$C:$C = W$1)), ""x"")"),"x")</f>
        <v>x</v>
      </c>
      <c r="X3" s="15" t="str">
        <f>IFERROR(__xludf.DUMMYFUNCTION("IFERROR(MAX(FILTER(Notas_Finales!$D:$D, Notas_Finales!$A:$A = $B3, VALUE(Notas_Finales!$B:$B) &amp; ""/"" &amp; Notas_Finales!$C:$C = X$1)), ""x"")"),"x")</f>
        <v>x</v>
      </c>
      <c r="Y3" s="15" t="str">
        <f>IFERROR(__xludf.DUMMYFUNCTION("IFERROR(MAX(FILTER(Notas_Finales!$D:$D, Notas_Finales!$A:$A = $B3, VALUE(Notas_Finales!$B:$B) &amp; ""/"" &amp; Notas_Finales!$C:$C = Y$1)), ""x"")"),"x")</f>
        <v>x</v>
      </c>
      <c r="Z3" s="15" t="str">
        <f>IFERROR(__xludf.DUMMYFUNCTION("IFERROR(MAX(FILTER(Notas_Finales!$D:$D, Notas_Finales!$A:$A = $B3, VALUE(Notas_Finales!$B:$B) &amp; ""/"" &amp; Notas_Finales!$C:$C = Z$1)), ""x"")"),"x")</f>
        <v>x</v>
      </c>
      <c r="AA3" s="15" t="str">
        <f>IFERROR(__xludf.DUMMYFUNCTION("IFERROR(MAX(FILTER(Notas_Finales!$D:$D, Notas_Finales!$A:$A = $B3, VALUE(Notas_Finales!$B:$B) &amp; ""/"" &amp; Notas_Finales!$C:$C = AA$1)), ""x"")"),"x")</f>
        <v>x</v>
      </c>
    </row>
    <row r="4">
      <c r="A4" s="12">
        <v>3.0</v>
      </c>
      <c r="B4" s="12" t="str">
        <f>IFERROR(__xludf.DUMMYFUNCTION("""COMPUTED_VALUE"""),"BUSTOS DEL VALLE, Joaquín")</f>
        <v>BUSTOS DEL VALLE, Joaquín</v>
      </c>
      <c r="C4" s="15">
        <f>IFERROR(__xludf.DUMMYFUNCTION("IFERROR(MAX(FILTER(Notas_Finales!$D:$D, Notas_Finales!$A:$A = $B4, VALUE(Notas_Finales!$B:$B) &amp; ""/"" &amp; Notas_Finales!$C:$C = C$1)), ""x"")"),7.0)</f>
        <v>7</v>
      </c>
      <c r="D4" s="15" t="str">
        <f>IFERROR(__xludf.DUMMYFUNCTION("IFERROR(MAX(FILTER(Notas_Finales!$D:$D, Notas_Finales!$A:$A = $B4, VALUE(Notas_Finales!$B:$B) &amp; ""/"" &amp; Notas_Finales!$C:$C = D$1)), ""x"")"),"x")</f>
        <v>x</v>
      </c>
      <c r="E4" s="15" t="str">
        <f>IFERROR(__xludf.DUMMYFUNCTION("IFERROR(MAX(FILTER(Notas_Finales!$D:$D, Notas_Finales!$A:$A = $B4, VALUE(Notas_Finales!$B:$B) &amp; ""/"" &amp; Notas_Finales!$C:$C = E$1)), ""x"")"),"x")</f>
        <v>x</v>
      </c>
      <c r="F4" s="15" t="str">
        <f>IFERROR(__xludf.DUMMYFUNCTION("IFERROR(MAX(FILTER(Notas_Finales!$D:$D, Notas_Finales!$A:$A = $B4, VALUE(Notas_Finales!$B:$B) &amp; ""/"" &amp; Notas_Finales!$C:$C = F$1)), ""x"")"),"x")</f>
        <v>x</v>
      </c>
      <c r="G4" s="15" t="str">
        <f>IFERROR(__xludf.DUMMYFUNCTION("IFERROR(MAX(FILTER(Notas_Finales!$D:$D, Notas_Finales!$A:$A = $B4, VALUE(Notas_Finales!$B:$B) &amp; ""/"" &amp; Notas_Finales!$C:$C = G$1)), ""x"")"),"x")</f>
        <v>x</v>
      </c>
      <c r="H4" s="15" t="str">
        <f>IFERROR(__xludf.DUMMYFUNCTION("IFERROR(MAX(FILTER(Notas_Finales!$D:$D, Notas_Finales!$A:$A = $B4, VALUE(Notas_Finales!$B:$B) &amp; ""/"" &amp; Notas_Finales!$C:$C = H$1)), ""x"")"),"x")</f>
        <v>x</v>
      </c>
      <c r="I4" s="15" t="str">
        <f>IFERROR(__xludf.DUMMYFUNCTION("IFERROR(MAX(FILTER(Notas_Finales!$D:$D, Notas_Finales!$A:$A = $B4, VALUE(Notas_Finales!$B:$B) &amp; ""/"" &amp; Notas_Finales!$C:$C = I$1)), ""x"")"),"x")</f>
        <v>x</v>
      </c>
      <c r="J4" s="15" t="str">
        <f>IFERROR(__xludf.DUMMYFUNCTION("IFERROR(MAX(FILTER(Notas_Finales!$D:$D, Notas_Finales!$A:$A = $B4, VALUE(Notas_Finales!$B:$B) &amp; ""/"" &amp; Notas_Finales!$C:$C = J$1)), ""x"")"),"x")</f>
        <v>x</v>
      </c>
      <c r="K4" s="15" t="str">
        <f>IFERROR(__xludf.DUMMYFUNCTION("IFERROR(MAX(FILTER(Notas_Finales!$D:$D, Notas_Finales!$A:$A = $B4, VALUE(Notas_Finales!$B:$B) &amp; ""/"" &amp; Notas_Finales!$C:$C = K$1)), ""x"")"),"x")</f>
        <v>x</v>
      </c>
      <c r="L4" s="15" t="str">
        <f>IFERROR(__xludf.DUMMYFUNCTION("IFERROR(MAX(FILTER(Notas_Finales!$D:$D, Notas_Finales!$A:$A = $B4, VALUE(Notas_Finales!$B:$B) &amp; ""/"" &amp; Notas_Finales!$C:$C = L$1)), ""x"")"),"x")</f>
        <v>x</v>
      </c>
      <c r="M4" s="15" t="str">
        <f>IFERROR(__xludf.DUMMYFUNCTION("IFERROR(MAX(FILTER(Notas_Finales!$D:$D, Notas_Finales!$A:$A = $B4, VALUE(Notas_Finales!$B:$B) &amp; ""/"" &amp; Notas_Finales!$C:$C = M$1)), ""x"")"),"x")</f>
        <v>x</v>
      </c>
      <c r="N4" s="15" t="str">
        <f>IFERROR(__xludf.DUMMYFUNCTION("IFERROR(MAX(FILTER(Notas_Finales!$D:$D, Notas_Finales!$A:$A = $B4, VALUE(Notas_Finales!$B:$B) &amp; ""/"" &amp; Notas_Finales!$C:$C = N$1)), ""x"")"),"x")</f>
        <v>x</v>
      </c>
      <c r="O4" s="15" t="str">
        <f>IFERROR(__xludf.DUMMYFUNCTION("IFERROR(MAX(FILTER(Notas_Finales!$D:$D, Notas_Finales!$A:$A = $B4, VALUE(Notas_Finales!$B:$B) &amp; ""/"" &amp; Notas_Finales!$C:$C = O$1)), ""x"")"),"x")</f>
        <v>x</v>
      </c>
      <c r="P4" s="15" t="str">
        <f>IFERROR(__xludf.DUMMYFUNCTION("IFERROR(MAX(FILTER(Notas_Finales!$D:$D, Notas_Finales!$A:$A = $B4, VALUE(Notas_Finales!$B:$B) &amp; ""/"" &amp; Notas_Finales!$C:$C = P$1)), ""x"")"),"x")</f>
        <v>x</v>
      </c>
      <c r="Q4" s="15" t="str">
        <f>IFERROR(__xludf.DUMMYFUNCTION("IFERROR(MAX(FILTER(Notas_Finales!$D:$D, Notas_Finales!$A:$A = $B4, VALUE(Notas_Finales!$B:$B) &amp; ""/"" &amp; Notas_Finales!$C:$C = Q$1)), ""x"")"),"x")</f>
        <v>x</v>
      </c>
      <c r="R4" s="15" t="str">
        <f>IFERROR(__xludf.DUMMYFUNCTION("IFERROR(MAX(FILTER(Notas_Finales!$D:$D, Notas_Finales!$A:$A = $B4, VALUE(Notas_Finales!$B:$B) &amp; ""/"" &amp; Notas_Finales!$C:$C = R$1)), ""x"")"),"x")</f>
        <v>x</v>
      </c>
      <c r="S4" s="15" t="str">
        <f>IFERROR(__xludf.DUMMYFUNCTION("IFERROR(MAX(FILTER(Notas_Finales!$D:$D, Notas_Finales!$A:$A = $B4, VALUE(Notas_Finales!$B:$B) &amp; ""/"" &amp; Notas_Finales!$C:$C = S$1)), ""x"")"),"x")</f>
        <v>x</v>
      </c>
      <c r="T4" s="15" t="str">
        <f>IFERROR(__xludf.DUMMYFUNCTION("IFERROR(MAX(FILTER(Notas_Finales!$D:$D, Notas_Finales!$A:$A = $B4, VALUE(Notas_Finales!$B:$B) &amp; ""/"" &amp; Notas_Finales!$C:$C = T$1)), ""x"")"),"x")</f>
        <v>x</v>
      </c>
      <c r="U4" s="15" t="str">
        <f>IFERROR(__xludf.DUMMYFUNCTION("IFERROR(MAX(FILTER(Notas_Finales!$D:$D, Notas_Finales!$A:$A = $B4, VALUE(Notas_Finales!$B:$B) &amp; ""/"" &amp; Notas_Finales!$C:$C = U$1)), ""x"")"),"x")</f>
        <v>x</v>
      </c>
      <c r="V4" s="15" t="str">
        <f>IFERROR(__xludf.DUMMYFUNCTION("IFERROR(MAX(FILTER(Notas_Finales!$D:$D, Notas_Finales!$A:$A = $B4, VALUE(Notas_Finales!$B:$B) &amp; ""/"" &amp; Notas_Finales!$C:$C = V$1)), ""x"")"),"x")</f>
        <v>x</v>
      </c>
      <c r="W4" s="15" t="str">
        <f>IFERROR(__xludf.DUMMYFUNCTION("IFERROR(MAX(FILTER(Notas_Finales!$D:$D, Notas_Finales!$A:$A = $B4, VALUE(Notas_Finales!$B:$B) &amp; ""/"" &amp; Notas_Finales!$C:$C = W$1)), ""x"")"),"x")</f>
        <v>x</v>
      </c>
      <c r="X4" s="15" t="str">
        <f>IFERROR(__xludf.DUMMYFUNCTION("IFERROR(MAX(FILTER(Notas_Finales!$D:$D, Notas_Finales!$A:$A = $B4, VALUE(Notas_Finales!$B:$B) &amp; ""/"" &amp; Notas_Finales!$C:$C = X$1)), ""x"")"),"x")</f>
        <v>x</v>
      </c>
      <c r="Y4" s="15" t="str">
        <f>IFERROR(__xludf.DUMMYFUNCTION("IFERROR(MAX(FILTER(Notas_Finales!$D:$D, Notas_Finales!$A:$A = $B4, VALUE(Notas_Finales!$B:$B) &amp; ""/"" &amp; Notas_Finales!$C:$C = Y$1)), ""x"")"),"x")</f>
        <v>x</v>
      </c>
      <c r="Z4" s="15" t="str">
        <f>IFERROR(__xludf.DUMMYFUNCTION("IFERROR(MAX(FILTER(Notas_Finales!$D:$D, Notas_Finales!$A:$A = $B4, VALUE(Notas_Finales!$B:$B) &amp; ""/"" &amp; Notas_Finales!$C:$C = Z$1)), ""x"")"),"x")</f>
        <v>x</v>
      </c>
      <c r="AA4" s="15" t="str">
        <f>IFERROR(__xludf.DUMMYFUNCTION("IFERROR(MAX(FILTER(Notas_Finales!$D:$D, Notas_Finales!$A:$A = $B4, VALUE(Notas_Finales!$B:$B) &amp; ""/"" &amp; Notas_Finales!$C:$C = AA$1)), ""x"")"),"x")</f>
        <v>x</v>
      </c>
    </row>
    <row r="5">
      <c r="A5" s="12">
        <v>4.0</v>
      </c>
      <c r="B5" s="12" t="str">
        <f>IFERROR(__xludf.DUMMYFUNCTION("""COMPUTED_VALUE"""),"CABRERA OBANDO, Nahuel Miqueas")</f>
        <v>CABRERA OBANDO, Nahuel Miqueas</v>
      </c>
      <c r="C5" s="15">
        <f>IFERROR(__xludf.DUMMYFUNCTION("IFERROR(MAX(FILTER(Notas_Finales!$D:$D, Notas_Finales!$A:$A = $B5, VALUE(Notas_Finales!$B:$B) &amp; ""/"" &amp; Notas_Finales!$C:$C = C$1)), ""x"")"),1.0)</f>
        <v>1</v>
      </c>
      <c r="D5" s="15" t="str">
        <f>IFERROR(__xludf.DUMMYFUNCTION("IFERROR(MAX(FILTER(Notas_Finales!$D:$D, Notas_Finales!$A:$A = $B5, VALUE(Notas_Finales!$B:$B) &amp; ""/"" &amp; Notas_Finales!$C:$C = D$1)), ""x"")"),"x")</f>
        <v>x</v>
      </c>
      <c r="E5" s="15" t="str">
        <f>IFERROR(__xludf.DUMMYFUNCTION("IFERROR(MAX(FILTER(Notas_Finales!$D:$D, Notas_Finales!$A:$A = $B5, VALUE(Notas_Finales!$B:$B) &amp; ""/"" &amp; Notas_Finales!$C:$C = E$1)), ""x"")"),"x")</f>
        <v>x</v>
      </c>
      <c r="F5" s="15" t="str">
        <f>IFERROR(__xludf.DUMMYFUNCTION("IFERROR(MAX(FILTER(Notas_Finales!$D:$D, Notas_Finales!$A:$A = $B5, VALUE(Notas_Finales!$B:$B) &amp; ""/"" &amp; Notas_Finales!$C:$C = F$1)), ""x"")"),"x")</f>
        <v>x</v>
      </c>
      <c r="G5" s="15" t="str">
        <f>IFERROR(__xludf.DUMMYFUNCTION("IFERROR(MAX(FILTER(Notas_Finales!$D:$D, Notas_Finales!$A:$A = $B5, VALUE(Notas_Finales!$B:$B) &amp; ""/"" &amp; Notas_Finales!$C:$C = G$1)), ""x"")"),"x")</f>
        <v>x</v>
      </c>
      <c r="H5" s="15" t="str">
        <f>IFERROR(__xludf.DUMMYFUNCTION("IFERROR(MAX(FILTER(Notas_Finales!$D:$D, Notas_Finales!$A:$A = $B5, VALUE(Notas_Finales!$B:$B) &amp; ""/"" &amp; Notas_Finales!$C:$C = H$1)), ""x"")"),"x")</f>
        <v>x</v>
      </c>
      <c r="I5" s="15" t="str">
        <f>IFERROR(__xludf.DUMMYFUNCTION("IFERROR(MAX(FILTER(Notas_Finales!$D:$D, Notas_Finales!$A:$A = $B5, VALUE(Notas_Finales!$B:$B) &amp; ""/"" &amp; Notas_Finales!$C:$C = I$1)), ""x"")"),"x")</f>
        <v>x</v>
      </c>
      <c r="J5" s="15" t="str">
        <f>IFERROR(__xludf.DUMMYFUNCTION("IFERROR(MAX(FILTER(Notas_Finales!$D:$D, Notas_Finales!$A:$A = $B5, VALUE(Notas_Finales!$B:$B) &amp; ""/"" &amp; Notas_Finales!$C:$C = J$1)), ""x"")"),"x")</f>
        <v>x</v>
      </c>
      <c r="K5" s="15" t="str">
        <f>IFERROR(__xludf.DUMMYFUNCTION("IFERROR(MAX(FILTER(Notas_Finales!$D:$D, Notas_Finales!$A:$A = $B5, VALUE(Notas_Finales!$B:$B) &amp; ""/"" &amp; Notas_Finales!$C:$C = K$1)), ""x"")"),"x")</f>
        <v>x</v>
      </c>
      <c r="L5" s="15" t="str">
        <f>IFERROR(__xludf.DUMMYFUNCTION("IFERROR(MAX(FILTER(Notas_Finales!$D:$D, Notas_Finales!$A:$A = $B5, VALUE(Notas_Finales!$B:$B) &amp; ""/"" &amp; Notas_Finales!$C:$C = L$1)), ""x"")"),"x")</f>
        <v>x</v>
      </c>
      <c r="M5" s="15" t="str">
        <f>IFERROR(__xludf.DUMMYFUNCTION("IFERROR(MAX(FILTER(Notas_Finales!$D:$D, Notas_Finales!$A:$A = $B5, VALUE(Notas_Finales!$B:$B) &amp; ""/"" &amp; Notas_Finales!$C:$C = M$1)), ""x"")"),"x")</f>
        <v>x</v>
      </c>
      <c r="N5" s="15" t="str">
        <f>IFERROR(__xludf.DUMMYFUNCTION("IFERROR(MAX(FILTER(Notas_Finales!$D:$D, Notas_Finales!$A:$A = $B5, VALUE(Notas_Finales!$B:$B) &amp; ""/"" &amp; Notas_Finales!$C:$C = N$1)), ""x"")"),"x")</f>
        <v>x</v>
      </c>
      <c r="O5" s="15" t="str">
        <f>IFERROR(__xludf.DUMMYFUNCTION("IFERROR(MAX(FILTER(Notas_Finales!$D:$D, Notas_Finales!$A:$A = $B5, VALUE(Notas_Finales!$B:$B) &amp; ""/"" &amp; Notas_Finales!$C:$C = O$1)), ""x"")"),"x")</f>
        <v>x</v>
      </c>
      <c r="P5" s="15" t="str">
        <f>IFERROR(__xludf.DUMMYFUNCTION("IFERROR(MAX(FILTER(Notas_Finales!$D:$D, Notas_Finales!$A:$A = $B5, VALUE(Notas_Finales!$B:$B) &amp; ""/"" &amp; Notas_Finales!$C:$C = P$1)), ""x"")"),"x")</f>
        <v>x</v>
      </c>
      <c r="Q5" s="15" t="str">
        <f>IFERROR(__xludf.DUMMYFUNCTION("IFERROR(MAX(FILTER(Notas_Finales!$D:$D, Notas_Finales!$A:$A = $B5, VALUE(Notas_Finales!$B:$B) &amp; ""/"" &amp; Notas_Finales!$C:$C = Q$1)), ""x"")"),"x")</f>
        <v>x</v>
      </c>
      <c r="R5" s="15" t="str">
        <f>IFERROR(__xludf.DUMMYFUNCTION("IFERROR(MAX(FILTER(Notas_Finales!$D:$D, Notas_Finales!$A:$A = $B5, VALUE(Notas_Finales!$B:$B) &amp; ""/"" &amp; Notas_Finales!$C:$C = R$1)), ""x"")"),"x")</f>
        <v>x</v>
      </c>
      <c r="S5" s="15" t="str">
        <f>IFERROR(__xludf.DUMMYFUNCTION("IFERROR(MAX(FILTER(Notas_Finales!$D:$D, Notas_Finales!$A:$A = $B5, VALUE(Notas_Finales!$B:$B) &amp; ""/"" &amp; Notas_Finales!$C:$C = S$1)), ""x"")"),"x")</f>
        <v>x</v>
      </c>
      <c r="T5" s="15" t="str">
        <f>IFERROR(__xludf.DUMMYFUNCTION("IFERROR(MAX(FILTER(Notas_Finales!$D:$D, Notas_Finales!$A:$A = $B5, VALUE(Notas_Finales!$B:$B) &amp; ""/"" &amp; Notas_Finales!$C:$C = T$1)), ""x"")"),"x")</f>
        <v>x</v>
      </c>
      <c r="U5" s="15" t="str">
        <f>IFERROR(__xludf.DUMMYFUNCTION("IFERROR(MAX(FILTER(Notas_Finales!$D:$D, Notas_Finales!$A:$A = $B5, VALUE(Notas_Finales!$B:$B) &amp; ""/"" &amp; Notas_Finales!$C:$C = U$1)), ""x"")"),"x")</f>
        <v>x</v>
      </c>
      <c r="V5" s="15" t="str">
        <f>IFERROR(__xludf.DUMMYFUNCTION("IFERROR(MAX(FILTER(Notas_Finales!$D:$D, Notas_Finales!$A:$A = $B5, VALUE(Notas_Finales!$B:$B) &amp; ""/"" &amp; Notas_Finales!$C:$C = V$1)), ""x"")"),"x")</f>
        <v>x</v>
      </c>
      <c r="W5" s="15" t="str">
        <f>IFERROR(__xludf.DUMMYFUNCTION("IFERROR(MAX(FILTER(Notas_Finales!$D:$D, Notas_Finales!$A:$A = $B5, VALUE(Notas_Finales!$B:$B) &amp; ""/"" &amp; Notas_Finales!$C:$C = W$1)), ""x"")"),"x")</f>
        <v>x</v>
      </c>
      <c r="X5" s="15" t="str">
        <f>IFERROR(__xludf.DUMMYFUNCTION("IFERROR(MAX(FILTER(Notas_Finales!$D:$D, Notas_Finales!$A:$A = $B5, VALUE(Notas_Finales!$B:$B) &amp; ""/"" &amp; Notas_Finales!$C:$C = X$1)), ""x"")"),"x")</f>
        <v>x</v>
      </c>
      <c r="Y5" s="15" t="str">
        <f>IFERROR(__xludf.DUMMYFUNCTION("IFERROR(MAX(FILTER(Notas_Finales!$D:$D, Notas_Finales!$A:$A = $B5, VALUE(Notas_Finales!$B:$B) &amp; ""/"" &amp; Notas_Finales!$C:$C = Y$1)), ""x"")"),"x")</f>
        <v>x</v>
      </c>
      <c r="Z5" s="15" t="str">
        <f>IFERROR(__xludf.DUMMYFUNCTION("IFERROR(MAX(FILTER(Notas_Finales!$D:$D, Notas_Finales!$A:$A = $B5, VALUE(Notas_Finales!$B:$B) &amp; ""/"" &amp; Notas_Finales!$C:$C = Z$1)), ""x"")"),"x")</f>
        <v>x</v>
      </c>
      <c r="AA5" s="15" t="str">
        <f>IFERROR(__xludf.DUMMYFUNCTION("IFERROR(MAX(FILTER(Notas_Finales!$D:$D, Notas_Finales!$A:$A = $B5, VALUE(Notas_Finales!$B:$B) &amp; ""/"" &amp; Notas_Finales!$C:$C = AA$1)), ""x"")"),"x")</f>
        <v>x</v>
      </c>
    </row>
    <row r="6">
      <c r="A6" s="12">
        <v>5.0</v>
      </c>
      <c r="B6" s="12" t="str">
        <f>IFERROR(__xludf.DUMMYFUNCTION("""COMPUTED_VALUE"""),"CHALLGUA QUISPE, Jeremy Joel")</f>
        <v>CHALLGUA QUISPE, Jeremy Joel</v>
      </c>
      <c r="C6" s="15">
        <f>IFERROR(__xludf.DUMMYFUNCTION("IFERROR(MAX(FILTER(Notas_Finales!$D:$D, Notas_Finales!$A:$A = $B6, VALUE(Notas_Finales!$B:$B) &amp; ""/"" &amp; Notas_Finales!$C:$C = C$1)), ""x"")"),3.0)</f>
        <v>3</v>
      </c>
      <c r="D6" s="15" t="str">
        <f>IFERROR(__xludf.DUMMYFUNCTION("IFERROR(MAX(FILTER(Notas_Finales!$D:$D, Notas_Finales!$A:$A = $B6, VALUE(Notas_Finales!$B:$B) &amp; ""/"" &amp; Notas_Finales!$C:$C = D$1)), ""x"")"),"x")</f>
        <v>x</v>
      </c>
      <c r="E6" s="15" t="str">
        <f>IFERROR(__xludf.DUMMYFUNCTION("IFERROR(MAX(FILTER(Notas_Finales!$D:$D, Notas_Finales!$A:$A = $B6, VALUE(Notas_Finales!$B:$B) &amp; ""/"" &amp; Notas_Finales!$C:$C = E$1)), ""x"")"),"x")</f>
        <v>x</v>
      </c>
      <c r="F6" s="15" t="str">
        <f>IFERROR(__xludf.DUMMYFUNCTION("IFERROR(MAX(FILTER(Notas_Finales!$D:$D, Notas_Finales!$A:$A = $B6, VALUE(Notas_Finales!$B:$B) &amp; ""/"" &amp; Notas_Finales!$C:$C = F$1)), ""x"")"),"x")</f>
        <v>x</v>
      </c>
      <c r="G6" s="15" t="str">
        <f>IFERROR(__xludf.DUMMYFUNCTION("IFERROR(MAX(FILTER(Notas_Finales!$D:$D, Notas_Finales!$A:$A = $B6, VALUE(Notas_Finales!$B:$B) &amp; ""/"" &amp; Notas_Finales!$C:$C = G$1)), ""x"")"),"x")</f>
        <v>x</v>
      </c>
      <c r="H6" s="15" t="str">
        <f>IFERROR(__xludf.DUMMYFUNCTION("IFERROR(MAX(FILTER(Notas_Finales!$D:$D, Notas_Finales!$A:$A = $B6, VALUE(Notas_Finales!$B:$B) &amp; ""/"" &amp; Notas_Finales!$C:$C = H$1)), ""x"")"),"x")</f>
        <v>x</v>
      </c>
      <c r="I6" s="15" t="str">
        <f>IFERROR(__xludf.DUMMYFUNCTION("IFERROR(MAX(FILTER(Notas_Finales!$D:$D, Notas_Finales!$A:$A = $B6, VALUE(Notas_Finales!$B:$B) &amp; ""/"" &amp; Notas_Finales!$C:$C = I$1)), ""x"")"),"x")</f>
        <v>x</v>
      </c>
      <c r="J6" s="15" t="str">
        <f>IFERROR(__xludf.DUMMYFUNCTION("IFERROR(MAX(FILTER(Notas_Finales!$D:$D, Notas_Finales!$A:$A = $B6, VALUE(Notas_Finales!$B:$B) &amp; ""/"" &amp; Notas_Finales!$C:$C = J$1)), ""x"")"),"x")</f>
        <v>x</v>
      </c>
      <c r="K6" s="15" t="str">
        <f>IFERROR(__xludf.DUMMYFUNCTION("IFERROR(MAX(FILTER(Notas_Finales!$D:$D, Notas_Finales!$A:$A = $B6, VALUE(Notas_Finales!$B:$B) &amp; ""/"" &amp; Notas_Finales!$C:$C = K$1)), ""x"")"),"x")</f>
        <v>x</v>
      </c>
      <c r="L6" s="15" t="str">
        <f>IFERROR(__xludf.DUMMYFUNCTION("IFERROR(MAX(FILTER(Notas_Finales!$D:$D, Notas_Finales!$A:$A = $B6, VALUE(Notas_Finales!$B:$B) &amp; ""/"" &amp; Notas_Finales!$C:$C = L$1)), ""x"")"),"x")</f>
        <v>x</v>
      </c>
      <c r="M6" s="15" t="str">
        <f>IFERROR(__xludf.DUMMYFUNCTION("IFERROR(MAX(FILTER(Notas_Finales!$D:$D, Notas_Finales!$A:$A = $B6, VALUE(Notas_Finales!$B:$B) &amp; ""/"" &amp; Notas_Finales!$C:$C = M$1)), ""x"")"),"x")</f>
        <v>x</v>
      </c>
      <c r="N6" s="15" t="str">
        <f>IFERROR(__xludf.DUMMYFUNCTION("IFERROR(MAX(FILTER(Notas_Finales!$D:$D, Notas_Finales!$A:$A = $B6, VALUE(Notas_Finales!$B:$B) &amp; ""/"" &amp; Notas_Finales!$C:$C = N$1)), ""x"")"),"x")</f>
        <v>x</v>
      </c>
      <c r="O6" s="15" t="str">
        <f>IFERROR(__xludf.DUMMYFUNCTION("IFERROR(MAX(FILTER(Notas_Finales!$D:$D, Notas_Finales!$A:$A = $B6, VALUE(Notas_Finales!$B:$B) &amp; ""/"" &amp; Notas_Finales!$C:$C = O$1)), ""x"")"),"x")</f>
        <v>x</v>
      </c>
      <c r="P6" s="15" t="str">
        <f>IFERROR(__xludf.DUMMYFUNCTION("IFERROR(MAX(FILTER(Notas_Finales!$D:$D, Notas_Finales!$A:$A = $B6, VALUE(Notas_Finales!$B:$B) &amp; ""/"" &amp; Notas_Finales!$C:$C = P$1)), ""x"")"),"x")</f>
        <v>x</v>
      </c>
      <c r="Q6" s="15" t="str">
        <f>IFERROR(__xludf.DUMMYFUNCTION("IFERROR(MAX(FILTER(Notas_Finales!$D:$D, Notas_Finales!$A:$A = $B6, VALUE(Notas_Finales!$B:$B) &amp; ""/"" &amp; Notas_Finales!$C:$C = Q$1)), ""x"")"),"x")</f>
        <v>x</v>
      </c>
      <c r="R6" s="15" t="str">
        <f>IFERROR(__xludf.DUMMYFUNCTION("IFERROR(MAX(FILTER(Notas_Finales!$D:$D, Notas_Finales!$A:$A = $B6, VALUE(Notas_Finales!$B:$B) &amp; ""/"" &amp; Notas_Finales!$C:$C = R$1)), ""x"")"),"x")</f>
        <v>x</v>
      </c>
      <c r="S6" s="15" t="str">
        <f>IFERROR(__xludf.DUMMYFUNCTION("IFERROR(MAX(FILTER(Notas_Finales!$D:$D, Notas_Finales!$A:$A = $B6, VALUE(Notas_Finales!$B:$B) &amp; ""/"" &amp; Notas_Finales!$C:$C = S$1)), ""x"")"),"x")</f>
        <v>x</v>
      </c>
      <c r="T6" s="15" t="str">
        <f>IFERROR(__xludf.DUMMYFUNCTION("IFERROR(MAX(FILTER(Notas_Finales!$D:$D, Notas_Finales!$A:$A = $B6, VALUE(Notas_Finales!$B:$B) &amp; ""/"" &amp; Notas_Finales!$C:$C = T$1)), ""x"")"),"x")</f>
        <v>x</v>
      </c>
      <c r="U6" s="15" t="str">
        <f>IFERROR(__xludf.DUMMYFUNCTION("IFERROR(MAX(FILTER(Notas_Finales!$D:$D, Notas_Finales!$A:$A = $B6, VALUE(Notas_Finales!$B:$B) &amp; ""/"" &amp; Notas_Finales!$C:$C = U$1)), ""x"")"),"x")</f>
        <v>x</v>
      </c>
      <c r="V6" s="15" t="str">
        <f>IFERROR(__xludf.DUMMYFUNCTION("IFERROR(MAX(FILTER(Notas_Finales!$D:$D, Notas_Finales!$A:$A = $B6, VALUE(Notas_Finales!$B:$B) &amp; ""/"" &amp; Notas_Finales!$C:$C = V$1)), ""x"")"),"x")</f>
        <v>x</v>
      </c>
      <c r="W6" s="15" t="str">
        <f>IFERROR(__xludf.DUMMYFUNCTION("IFERROR(MAX(FILTER(Notas_Finales!$D:$D, Notas_Finales!$A:$A = $B6, VALUE(Notas_Finales!$B:$B) &amp; ""/"" &amp; Notas_Finales!$C:$C = W$1)), ""x"")"),"x")</f>
        <v>x</v>
      </c>
      <c r="X6" s="15" t="str">
        <f>IFERROR(__xludf.DUMMYFUNCTION("IFERROR(MAX(FILTER(Notas_Finales!$D:$D, Notas_Finales!$A:$A = $B6, VALUE(Notas_Finales!$B:$B) &amp; ""/"" &amp; Notas_Finales!$C:$C = X$1)), ""x"")"),"x")</f>
        <v>x</v>
      </c>
      <c r="Y6" s="15" t="str">
        <f>IFERROR(__xludf.DUMMYFUNCTION("IFERROR(MAX(FILTER(Notas_Finales!$D:$D, Notas_Finales!$A:$A = $B6, VALUE(Notas_Finales!$B:$B) &amp; ""/"" &amp; Notas_Finales!$C:$C = Y$1)), ""x"")"),"x")</f>
        <v>x</v>
      </c>
      <c r="Z6" s="15" t="str">
        <f>IFERROR(__xludf.DUMMYFUNCTION("IFERROR(MAX(FILTER(Notas_Finales!$D:$D, Notas_Finales!$A:$A = $B6, VALUE(Notas_Finales!$B:$B) &amp; ""/"" &amp; Notas_Finales!$C:$C = Z$1)), ""x"")"),"x")</f>
        <v>x</v>
      </c>
      <c r="AA6" s="15" t="str">
        <f>IFERROR(__xludf.DUMMYFUNCTION("IFERROR(MAX(FILTER(Notas_Finales!$D:$D, Notas_Finales!$A:$A = $B6, VALUE(Notas_Finales!$B:$B) &amp; ""/"" &amp; Notas_Finales!$C:$C = AA$1)), ""x"")"),"x")</f>
        <v>x</v>
      </c>
    </row>
    <row r="7">
      <c r="A7" s="12">
        <v>6.0</v>
      </c>
      <c r="B7" s="12" t="str">
        <f>IFERROR(__xludf.DUMMYFUNCTION("""COMPUTED_VALUE"""),"CORDOBÉZ, Martín")</f>
        <v>CORDOBÉZ, Martín</v>
      </c>
      <c r="C7" s="15">
        <f>IFERROR(__xludf.DUMMYFUNCTION("IFERROR(MAX(FILTER(Notas_Finales!$D:$D, Notas_Finales!$A:$A = $B7, VALUE(Notas_Finales!$B:$B) &amp; ""/"" &amp; Notas_Finales!$C:$C = C$1)), ""x"")"),1.0)</f>
        <v>1</v>
      </c>
      <c r="D7" s="15" t="str">
        <f>IFERROR(__xludf.DUMMYFUNCTION("IFERROR(MAX(FILTER(Notas_Finales!$D:$D, Notas_Finales!$A:$A = $B7, VALUE(Notas_Finales!$B:$B) &amp; ""/"" &amp; Notas_Finales!$C:$C = D$1)), ""x"")"),"x")</f>
        <v>x</v>
      </c>
      <c r="E7" s="15" t="str">
        <f>IFERROR(__xludf.DUMMYFUNCTION("IFERROR(MAX(FILTER(Notas_Finales!$D:$D, Notas_Finales!$A:$A = $B7, VALUE(Notas_Finales!$B:$B) &amp; ""/"" &amp; Notas_Finales!$C:$C = E$1)), ""x"")"),"x")</f>
        <v>x</v>
      </c>
      <c r="F7" s="15" t="str">
        <f>IFERROR(__xludf.DUMMYFUNCTION("IFERROR(MAX(FILTER(Notas_Finales!$D:$D, Notas_Finales!$A:$A = $B7, VALUE(Notas_Finales!$B:$B) &amp; ""/"" &amp; Notas_Finales!$C:$C = F$1)), ""x"")"),"x")</f>
        <v>x</v>
      </c>
      <c r="G7" s="15" t="str">
        <f>IFERROR(__xludf.DUMMYFUNCTION("IFERROR(MAX(FILTER(Notas_Finales!$D:$D, Notas_Finales!$A:$A = $B7, VALUE(Notas_Finales!$B:$B) &amp; ""/"" &amp; Notas_Finales!$C:$C = G$1)), ""x"")"),"x")</f>
        <v>x</v>
      </c>
      <c r="H7" s="15" t="str">
        <f>IFERROR(__xludf.DUMMYFUNCTION("IFERROR(MAX(FILTER(Notas_Finales!$D:$D, Notas_Finales!$A:$A = $B7, VALUE(Notas_Finales!$B:$B) &amp; ""/"" &amp; Notas_Finales!$C:$C = H$1)), ""x"")"),"x")</f>
        <v>x</v>
      </c>
      <c r="I7" s="15" t="str">
        <f>IFERROR(__xludf.DUMMYFUNCTION("IFERROR(MAX(FILTER(Notas_Finales!$D:$D, Notas_Finales!$A:$A = $B7, VALUE(Notas_Finales!$B:$B) &amp; ""/"" &amp; Notas_Finales!$C:$C = I$1)), ""x"")"),"x")</f>
        <v>x</v>
      </c>
      <c r="J7" s="15" t="str">
        <f>IFERROR(__xludf.DUMMYFUNCTION("IFERROR(MAX(FILTER(Notas_Finales!$D:$D, Notas_Finales!$A:$A = $B7, VALUE(Notas_Finales!$B:$B) &amp; ""/"" &amp; Notas_Finales!$C:$C = J$1)), ""x"")"),"x")</f>
        <v>x</v>
      </c>
      <c r="K7" s="15" t="str">
        <f>IFERROR(__xludf.DUMMYFUNCTION("IFERROR(MAX(FILTER(Notas_Finales!$D:$D, Notas_Finales!$A:$A = $B7, VALUE(Notas_Finales!$B:$B) &amp; ""/"" &amp; Notas_Finales!$C:$C = K$1)), ""x"")"),"x")</f>
        <v>x</v>
      </c>
      <c r="L7" s="15" t="str">
        <f>IFERROR(__xludf.DUMMYFUNCTION("IFERROR(MAX(FILTER(Notas_Finales!$D:$D, Notas_Finales!$A:$A = $B7, VALUE(Notas_Finales!$B:$B) &amp; ""/"" &amp; Notas_Finales!$C:$C = L$1)), ""x"")"),"x")</f>
        <v>x</v>
      </c>
      <c r="M7" s="15" t="str">
        <f>IFERROR(__xludf.DUMMYFUNCTION("IFERROR(MAX(FILTER(Notas_Finales!$D:$D, Notas_Finales!$A:$A = $B7, VALUE(Notas_Finales!$B:$B) &amp; ""/"" &amp; Notas_Finales!$C:$C = M$1)), ""x"")"),"x")</f>
        <v>x</v>
      </c>
      <c r="N7" s="15" t="str">
        <f>IFERROR(__xludf.DUMMYFUNCTION("IFERROR(MAX(FILTER(Notas_Finales!$D:$D, Notas_Finales!$A:$A = $B7, VALUE(Notas_Finales!$B:$B) &amp; ""/"" &amp; Notas_Finales!$C:$C = N$1)), ""x"")"),"x")</f>
        <v>x</v>
      </c>
      <c r="O7" s="15" t="str">
        <f>IFERROR(__xludf.DUMMYFUNCTION("IFERROR(MAX(FILTER(Notas_Finales!$D:$D, Notas_Finales!$A:$A = $B7, VALUE(Notas_Finales!$B:$B) &amp; ""/"" &amp; Notas_Finales!$C:$C = O$1)), ""x"")"),"x")</f>
        <v>x</v>
      </c>
      <c r="P7" s="15" t="str">
        <f>IFERROR(__xludf.DUMMYFUNCTION("IFERROR(MAX(FILTER(Notas_Finales!$D:$D, Notas_Finales!$A:$A = $B7, VALUE(Notas_Finales!$B:$B) &amp; ""/"" &amp; Notas_Finales!$C:$C = P$1)), ""x"")"),"x")</f>
        <v>x</v>
      </c>
      <c r="Q7" s="15" t="str">
        <f>IFERROR(__xludf.DUMMYFUNCTION("IFERROR(MAX(FILTER(Notas_Finales!$D:$D, Notas_Finales!$A:$A = $B7, VALUE(Notas_Finales!$B:$B) &amp; ""/"" &amp; Notas_Finales!$C:$C = Q$1)), ""x"")"),"x")</f>
        <v>x</v>
      </c>
      <c r="R7" s="15" t="str">
        <f>IFERROR(__xludf.DUMMYFUNCTION("IFERROR(MAX(FILTER(Notas_Finales!$D:$D, Notas_Finales!$A:$A = $B7, VALUE(Notas_Finales!$B:$B) &amp; ""/"" &amp; Notas_Finales!$C:$C = R$1)), ""x"")"),"x")</f>
        <v>x</v>
      </c>
      <c r="S7" s="15" t="str">
        <f>IFERROR(__xludf.DUMMYFUNCTION("IFERROR(MAX(FILTER(Notas_Finales!$D:$D, Notas_Finales!$A:$A = $B7, VALUE(Notas_Finales!$B:$B) &amp; ""/"" &amp; Notas_Finales!$C:$C = S$1)), ""x"")"),"x")</f>
        <v>x</v>
      </c>
      <c r="T7" s="15" t="str">
        <f>IFERROR(__xludf.DUMMYFUNCTION("IFERROR(MAX(FILTER(Notas_Finales!$D:$D, Notas_Finales!$A:$A = $B7, VALUE(Notas_Finales!$B:$B) &amp; ""/"" &amp; Notas_Finales!$C:$C = T$1)), ""x"")"),"x")</f>
        <v>x</v>
      </c>
      <c r="U7" s="15" t="str">
        <f>IFERROR(__xludf.DUMMYFUNCTION("IFERROR(MAX(FILTER(Notas_Finales!$D:$D, Notas_Finales!$A:$A = $B7, VALUE(Notas_Finales!$B:$B) &amp; ""/"" &amp; Notas_Finales!$C:$C = U$1)), ""x"")"),"x")</f>
        <v>x</v>
      </c>
      <c r="V7" s="15" t="str">
        <f>IFERROR(__xludf.DUMMYFUNCTION("IFERROR(MAX(FILTER(Notas_Finales!$D:$D, Notas_Finales!$A:$A = $B7, VALUE(Notas_Finales!$B:$B) &amp; ""/"" &amp; Notas_Finales!$C:$C = V$1)), ""x"")"),"x")</f>
        <v>x</v>
      </c>
      <c r="W7" s="15" t="str">
        <f>IFERROR(__xludf.DUMMYFUNCTION("IFERROR(MAX(FILTER(Notas_Finales!$D:$D, Notas_Finales!$A:$A = $B7, VALUE(Notas_Finales!$B:$B) &amp; ""/"" &amp; Notas_Finales!$C:$C = W$1)), ""x"")"),"x")</f>
        <v>x</v>
      </c>
      <c r="X7" s="15" t="str">
        <f>IFERROR(__xludf.DUMMYFUNCTION("IFERROR(MAX(FILTER(Notas_Finales!$D:$D, Notas_Finales!$A:$A = $B7, VALUE(Notas_Finales!$B:$B) &amp; ""/"" &amp; Notas_Finales!$C:$C = X$1)), ""x"")"),"x")</f>
        <v>x</v>
      </c>
      <c r="Y7" s="15" t="str">
        <f>IFERROR(__xludf.DUMMYFUNCTION("IFERROR(MAX(FILTER(Notas_Finales!$D:$D, Notas_Finales!$A:$A = $B7, VALUE(Notas_Finales!$B:$B) &amp; ""/"" &amp; Notas_Finales!$C:$C = Y$1)), ""x"")"),"x")</f>
        <v>x</v>
      </c>
      <c r="Z7" s="15" t="str">
        <f>IFERROR(__xludf.DUMMYFUNCTION("IFERROR(MAX(FILTER(Notas_Finales!$D:$D, Notas_Finales!$A:$A = $B7, VALUE(Notas_Finales!$B:$B) &amp; ""/"" &amp; Notas_Finales!$C:$C = Z$1)), ""x"")"),"x")</f>
        <v>x</v>
      </c>
      <c r="AA7" s="15" t="str">
        <f>IFERROR(__xludf.DUMMYFUNCTION("IFERROR(MAX(FILTER(Notas_Finales!$D:$D, Notas_Finales!$A:$A = $B7, VALUE(Notas_Finales!$B:$B) &amp; ""/"" &amp; Notas_Finales!$C:$C = AA$1)), ""x"")"),"x")</f>
        <v>x</v>
      </c>
    </row>
    <row r="8">
      <c r="A8" s="12">
        <v>7.0</v>
      </c>
      <c r="B8" s="12" t="str">
        <f>IFERROR(__xludf.DUMMYFUNCTION("""COMPUTED_VALUE"""),"GALARZA")</f>
        <v>GALARZA</v>
      </c>
      <c r="C8" s="15">
        <f>IFERROR(__xludf.DUMMYFUNCTION("IFERROR(MAX(FILTER(Notas_Finales!$D:$D, Notas_Finales!$A:$A = $B8, VALUE(Notas_Finales!$B:$B) &amp; ""/"" &amp; Notas_Finales!$C:$C = C$1)), ""x"")"),5.0)</f>
        <v>5</v>
      </c>
      <c r="D8" s="15" t="str">
        <f>IFERROR(__xludf.DUMMYFUNCTION("IFERROR(MAX(FILTER(Notas_Finales!$D:$D, Notas_Finales!$A:$A = $B8, VALUE(Notas_Finales!$B:$B) &amp; ""/"" &amp; Notas_Finales!$C:$C = D$1)), ""x"")"),"x")</f>
        <v>x</v>
      </c>
      <c r="E8" s="15" t="str">
        <f>IFERROR(__xludf.DUMMYFUNCTION("IFERROR(MAX(FILTER(Notas_Finales!$D:$D, Notas_Finales!$A:$A = $B8, VALUE(Notas_Finales!$B:$B) &amp; ""/"" &amp; Notas_Finales!$C:$C = E$1)), ""x"")"),"x")</f>
        <v>x</v>
      </c>
      <c r="F8" s="15" t="str">
        <f>IFERROR(__xludf.DUMMYFUNCTION("IFERROR(MAX(FILTER(Notas_Finales!$D:$D, Notas_Finales!$A:$A = $B8, VALUE(Notas_Finales!$B:$B) &amp; ""/"" &amp; Notas_Finales!$C:$C = F$1)), ""x"")"),"x")</f>
        <v>x</v>
      </c>
      <c r="G8" s="15" t="str">
        <f>IFERROR(__xludf.DUMMYFUNCTION("IFERROR(MAX(FILTER(Notas_Finales!$D:$D, Notas_Finales!$A:$A = $B8, VALUE(Notas_Finales!$B:$B) &amp; ""/"" &amp; Notas_Finales!$C:$C = G$1)), ""x"")"),"x")</f>
        <v>x</v>
      </c>
      <c r="H8" s="15" t="str">
        <f>IFERROR(__xludf.DUMMYFUNCTION("IFERROR(MAX(FILTER(Notas_Finales!$D:$D, Notas_Finales!$A:$A = $B8, VALUE(Notas_Finales!$B:$B) &amp; ""/"" &amp; Notas_Finales!$C:$C = H$1)), ""x"")"),"x")</f>
        <v>x</v>
      </c>
      <c r="I8" s="15" t="str">
        <f>IFERROR(__xludf.DUMMYFUNCTION("IFERROR(MAX(FILTER(Notas_Finales!$D:$D, Notas_Finales!$A:$A = $B8, VALUE(Notas_Finales!$B:$B) &amp; ""/"" &amp; Notas_Finales!$C:$C = I$1)), ""x"")"),"x")</f>
        <v>x</v>
      </c>
      <c r="J8" s="15" t="str">
        <f>IFERROR(__xludf.DUMMYFUNCTION("IFERROR(MAX(FILTER(Notas_Finales!$D:$D, Notas_Finales!$A:$A = $B8, VALUE(Notas_Finales!$B:$B) &amp; ""/"" &amp; Notas_Finales!$C:$C = J$1)), ""x"")"),"x")</f>
        <v>x</v>
      </c>
      <c r="K8" s="15" t="str">
        <f>IFERROR(__xludf.DUMMYFUNCTION("IFERROR(MAX(FILTER(Notas_Finales!$D:$D, Notas_Finales!$A:$A = $B8, VALUE(Notas_Finales!$B:$B) &amp; ""/"" &amp; Notas_Finales!$C:$C = K$1)), ""x"")"),"x")</f>
        <v>x</v>
      </c>
      <c r="L8" s="15" t="str">
        <f>IFERROR(__xludf.DUMMYFUNCTION("IFERROR(MAX(FILTER(Notas_Finales!$D:$D, Notas_Finales!$A:$A = $B8, VALUE(Notas_Finales!$B:$B) &amp; ""/"" &amp; Notas_Finales!$C:$C = L$1)), ""x"")"),"x")</f>
        <v>x</v>
      </c>
      <c r="M8" s="15" t="str">
        <f>IFERROR(__xludf.DUMMYFUNCTION("IFERROR(MAX(FILTER(Notas_Finales!$D:$D, Notas_Finales!$A:$A = $B8, VALUE(Notas_Finales!$B:$B) &amp; ""/"" &amp; Notas_Finales!$C:$C = M$1)), ""x"")"),"x")</f>
        <v>x</v>
      </c>
      <c r="N8" s="15" t="str">
        <f>IFERROR(__xludf.DUMMYFUNCTION("IFERROR(MAX(FILTER(Notas_Finales!$D:$D, Notas_Finales!$A:$A = $B8, VALUE(Notas_Finales!$B:$B) &amp; ""/"" &amp; Notas_Finales!$C:$C = N$1)), ""x"")"),"x")</f>
        <v>x</v>
      </c>
      <c r="O8" s="15" t="str">
        <f>IFERROR(__xludf.DUMMYFUNCTION("IFERROR(MAX(FILTER(Notas_Finales!$D:$D, Notas_Finales!$A:$A = $B8, VALUE(Notas_Finales!$B:$B) &amp; ""/"" &amp; Notas_Finales!$C:$C = O$1)), ""x"")"),"x")</f>
        <v>x</v>
      </c>
      <c r="P8" s="15" t="str">
        <f>IFERROR(__xludf.DUMMYFUNCTION("IFERROR(MAX(FILTER(Notas_Finales!$D:$D, Notas_Finales!$A:$A = $B8, VALUE(Notas_Finales!$B:$B) &amp; ""/"" &amp; Notas_Finales!$C:$C = P$1)), ""x"")"),"x")</f>
        <v>x</v>
      </c>
      <c r="Q8" s="15" t="str">
        <f>IFERROR(__xludf.DUMMYFUNCTION("IFERROR(MAX(FILTER(Notas_Finales!$D:$D, Notas_Finales!$A:$A = $B8, VALUE(Notas_Finales!$B:$B) &amp; ""/"" &amp; Notas_Finales!$C:$C = Q$1)), ""x"")"),"x")</f>
        <v>x</v>
      </c>
      <c r="R8" s="15" t="str">
        <f>IFERROR(__xludf.DUMMYFUNCTION("IFERROR(MAX(FILTER(Notas_Finales!$D:$D, Notas_Finales!$A:$A = $B8, VALUE(Notas_Finales!$B:$B) &amp; ""/"" &amp; Notas_Finales!$C:$C = R$1)), ""x"")"),"x")</f>
        <v>x</v>
      </c>
      <c r="S8" s="15" t="str">
        <f>IFERROR(__xludf.DUMMYFUNCTION("IFERROR(MAX(FILTER(Notas_Finales!$D:$D, Notas_Finales!$A:$A = $B8, VALUE(Notas_Finales!$B:$B) &amp; ""/"" &amp; Notas_Finales!$C:$C = S$1)), ""x"")"),"x")</f>
        <v>x</v>
      </c>
      <c r="T8" s="15" t="str">
        <f>IFERROR(__xludf.DUMMYFUNCTION("IFERROR(MAX(FILTER(Notas_Finales!$D:$D, Notas_Finales!$A:$A = $B8, VALUE(Notas_Finales!$B:$B) &amp; ""/"" &amp; Notas_Finales!$C:$C = T$1)), ""x"")"),"x")</f>
        <v>x</v>
      </c>
      <c r="U8" s="15" t="str">
        <f>IFERROR(__xludf.DUMMYFUNCTION("IFERROR(MAX(FILTER(Notas_Finales!$D:$D, Notas_Finales!$A:$A = $B8, VALUE(Notas_Finales!$B:$B) &amp; ""/"" &amp; Notas_Finales!$C:$C = U$1)), ""x"")"),"x")</f>
        <v>x</v>
      </c>
      <c r="V8" s="15" t="str">
        <f>IFERROR(__xludf.DUMMYFUNCTION("IFERROR(MAX(FILTER(Notas_Finales!$D:$D, Notas_Finales!$A:$A = $B8, VALUE(Notas_Finales!$B:$B) &amp; ""/"" &amp; Notas_Finales!$C:$C = V$1)), ""x"")"),"x")</f>
        <v>x</v>
      </c>
      <c r="W8" s="15" t="str">
        <f>IFERROR(__xludf.DUMMYFUNCTION("IFERROR(MAX(FILTER(Notas_Finales!$D:$D, Notas_Finales!$A:$A = $B8, VALUE(Notas_Finales!$B:$B) &amp; ""/"" &amp; Notas_Finales!$C:$C = W$1)), ""x"")"),"x")</f>
        <v>x</v>
      </c>
      <c r="X8" s="15" t="str">
        <f>IFERROR(__xludf.DUMMYFUNCTION("IFERROR(MAX(FILTER(Notas_Finales!$D:$D, Notas_Finales!$A:$A = $B8, VALUE(Notas_Finales!$B:$B) &amp; ""/"" &amp; Notas_Finales!$C:$C = X$1)), ""x"")"),"x")</f>
        <v>x</v>
      </c>
      <c r="Y8" s="15" t="str">
        <f>IFERROR(__xludf.DUMMYFUNCTION("IFERROR(MAX(FILTER(Notas_Finales!$D:$D, Notas_Finales!$A:$A = $B8, VALUE(Notas_Finales!$B:$B) &amp; ""/"" &amp; Notas_Finales!$C:$C = Y$1)), ""x"")"),"x")</f>
        <v>x</v>
      </c>
      <c r="Z8" s="15" t="str">
        <f>IFERROR(__xludf.DUMMYFUNCTION("IFERROR(MAX(FILTER(Notas_Finales!$D:$D, Notas_Finales!$A:$A = $B8, VALUE(Notas_Finales!$B:$B) &amp; ""/"" &amp; Notas_Finales!$C:$C = Z$1)), ""x"")"),"x")</f>
        <v>x</v>
      </c>
      <c r="AA8" s="15" t="str">
        <f>IFERROR(__xludf.DUMMYFUNCTION("IFERROR(MAX(FILTER(Notas_Finales!$D:$D, Notas_Finales!$A:$A = $B8, VALUE(Notas_Finales!$B:$B) &amp; ""/"" &amp; Notas_Finales!$C:$C = AA$1)), ""x"")"),"x")</f>
        <v>x</v>
      </c>
    </row>
    <row r="9">
      <c r="A9" s="12">
        <v>8.0</v>
      </c>
      <c r="B9" s="12" t="str">
        <f>IFERROR(__xludf.DUMMYFUNCTION("""COMPUTED_VALUE"""),"GÓMEZ, Cristian Martín")</f>
        <v>GÓMEZ, Cristian Martín</v>
      </c>
      <c r="C9" s="15">
        <f>IFERROR(__xludf.DUMMYFUNCTION("IFERROR(MAX(FILTER(Notas_Finales!$D:$D, Notas_Finales!$A:$A = $B9, VALUE(Notas_Finales!$B:$B) &amp; ""/"" &amp; Notas_Finales!$C:$C = C$1)), ""x"")"),2.0)</f>
        <v>2</v>
      </c>
      <c r="D9" s="15" t="str">
        <f>IFERROR(__xludf.DUMMYFUNCTION("IFERROR(MAX(FILTER(Notas_Finales!$D:$D, Notas_Finales!$A:$A = $B9, VALUE(Notas_Finales!$B:$B) &amp; ""/"" &amp; Notas_Finales!$C:$C = D$1)), ""x"")"),"x")</f>
        <v>x</v>
      </c>
      <c r="E9" s="15" t="str">
        <f>IFERROR(__xludf.DUMMYFUNCTION("IFERROR(MAX(FILTER(Notas_Finales!$D:$D, Notas_Finales!$A:$A = $B9, VALUE(Notas_Finales!$B:$B) &amp; ""/"" &amp; Notas_Finales!$C:$C = E$1)), ""x"")"),"x")</f>
        <v>x</v>
      </c>
      <c r="F9" s="15" t="str">
        <f>IFERROR(__xludf.DUMMYFUNCTION("IFERROR(MAX(FILTER(Notas_Finales!$D:$D, Notas_Finales!$A:$A = $B9, VALUE(Notas_Finales!$B:$B) &amp; ""/"" &amp; Notas_Finales!$C:$C = F$1)), ""x"")"),"x")</f>
        <v>x</v>
      </c>
      <c r="G9" s="15" t="str">
        <f>IFERROR(__xludf.DUMMYFUNCTION("IFERROR(MAX(FILTER(Notas_Finales!$D:$D, Notas_Finales!$A:$A = $B9, VALUE(Notas_Finales!$B:$B) &amp; ""/"" &amp; Notas_Finales!$C:$C = G$1)), ""x"")"),"x")</f>
        <v>x</v>
      </c>
      <c r="H9" s="15" t="str">
        <f>IFERROR(__xludf.DUMMYFUNCTION("IFERROR(MAX(FILTER(Notas_Finales!$D:$D, Notas_Finales!$A:$A = $B9, VALUE(Notas_Finales!$B:$B) &amp; ""/"" &amp; Notas_Finales!$C:$C = H$1)), ""x"")"),"x")</f>
        <v>x</v>
      </c>
      <c r="I9" s="15" t="str">
        <f>IFERROR(__xludf.DUMMYFUNCTION("IFERROR(MAX(FILTER(Notas_Finales!$D:$D, Notas_Finales!$A:$A = $B9, VALUE(Notas_Finales!$B:$B) &amp; ""/"" &amp; Notas_Finales!$C:$C = I$1)), ""x"")"),"x")</f>
        <v>x</v>
      </c>
      <c r="J9" s="15" t="str">
        <f>IFERROR(__xludf.DUMMYFUNCTION("IFERROR(MAX(FILTER(Notas_Finales!$D:$D, Notas_Finales!$A:$A = $B9, VALUE(Notas_Finales!$B:$B) &amp; ""/"" &amp; Notas_Finales!$C:$C = J$1)), ""x"")"),"x")</f>
        <v>x</v>
      </c>
      <c r="K9" s="15" t="str">
        <f>IFERROR(__xludf.DUMMYFUNCTION("IFERROR(MAX(FILTER(Notas_Finales!$D:$D, Notas_Finales!$A:$A = $B9, VALUE(Notas_Finales!$B:$B) &amp; ""/"" &amp; Notas_Finales!$C:$C = K$1)), ""x"")"),"x")</f>
        <v>x</v>
      </c>
      <c r="L9" s="15" t="str">
        <f>IFERROR(__xludf.DUMMYFUNCTION("IFERROR(MAX(FILTER(Notas_Finales!$D:$D, Notas_Finales!$A:$A = $B9, VALUE(Notas_Finales!$B:$B) &amp; ""/"" &amp; Notas_Finales!$C:$C = L$1)), ""x"")"),"x")</f>
        <v>x</v>
      </c>
      <c r="M9" s="15" t="str">
        <f>IFERROR(__xludf.DUMMYFUNCTION("IFERROR(MAX(FILTER(Notas_Finales!$D:$D, Notas_Finales!$A:$A = $B9, VALUE(Notas_Finales!$B:$B) &amp; ""/"" &amp; Notas_Finales!$C:$C = M$1)), ""x"")"),"x")</f>
        <v>x</v>
      </c>
      <c r="N9" s="15" t="str">
        <f>IFERROR(__xludf.DUMMYFUNCTION("IFERROR(MAX(FILTER(Notas_Finales!$D:$D, Notas_Finales!$A:$A = $B9, VALUE(Notas_Finales!$B:$B) &amp; ""/"" &amp; Notas_Finales!$C:$C = N$1)), ""x"")"),"x")</f>
        <v>x</v>
      </c>
      <c r="O9" s="15" t="str">
        <f>IFERROR(__xludf.DUMMYFUNCTION("IFERROR(MAX(FILTER(Notas_Finales!$D:$D, Notas_Finales!$A:$A = $B9, VALUE(Notas_Finales!$B:$B) &amp; ""/"" &amp; Notas_Finales!$C:$C = O$1)), ""x"")"),"x")</f>
        <v>x</v>
      </c>
      <c r="P9" s="15" t="str">
        <f>IFERROR(__xludf.DUMMYFUNCTION("IFERROR(MAX(FILTER(Notas_Finales!$D:$D, Notas_Finales!$A:$A = $B9, VALUE(Notas_Finales!$B:$B) &amp; ""/"" &amp; Notas_Finales!$C:$C = P$1)), ""x"")"),"x")</f>
        <v>x</v>
      </c>
      <c r="Q9" s="15" t="str">
        <f>IFERROR(__xludf.DUMMYFUNCTION("IFERROR(MAX(FILTER(Notas_Finales!$D:$D, Notas_Finales!$A:$A = $B9, VALUE(Notas_Finales!$B:$B) &amp; ""/"" &amp; Notas_Finales!$C:$C = Q$1)), ""x"")"),"x")</f>
        <v>x</v>
      </c>
      <c r="R9" s="15" t="str">
        <f>IFERROR(__xludf.DUMMYFUNCTION("IFERROR(MAX(FILTER(Notas_Finales!$D:$D, Notas_Finales!$A:$A = $B9, VALUE(Notas_Finales!$B:$B) &amp; ""/"" &amp; Notas_Finales!$C:$C = R$1)), ""x"")"),"x")</f>
        <v>x</v>
      </c>
      <c r="S9" s="15" t="str">
        <f>IFERROR(__xludf.DUMMYFUNCTION("IFERROR(MAX(FILTER(Notas_Finales!$D:$D, Notas_Finales!$A:$A = $B9, VALUE(Notas_Finales!$B:$B) &amp; ""/"" &amp; Notas_Finales!$C:$C = S$1)), ""x"")"),"x")</f>
        <v>x</v>
      </c>
      <c r="T9" s="15" t="str">
        <f>IFERROR(__xludf.DUMMYFUNCTION("IFERROR(MAX(FILTER(Notas_Finales!$D:$D, Notas_Finales!$A:$A = $B9, VALUE(Notas_Finales!$B:$B) &amp; ""/"" &amp; Notas_Finales!$C:$C = T$1)), ""x"")"),"x")</f>
        <v>x</v>
      </c>
      <c r="U9" s="15" t="str">
        <f>IFERROR(__xludf.DUMMYFUNCTION("IFERROR(MAX(FILTER(Notas_Finales!$D:$D, Notas_Finales!$A:$A = $B9, VALUE(Notas_Finales!$B:$B) &amp; ""/"" &amp; Notas_Finales!$C:$C = U$1)), ""x"")"),"x")</f>
        <v>x</v>
      </c>
      <c r="V9" s="15" t="str">
        <f>IFERROR(__xludf.DUMMYFUNCTION("IFERROR(MAX(FILTER(Notas_Finales!$D:$D, Notas_Finales!$A:$A = $B9, VALUE(Notas_Finales!$B:$B) &amp; ""/"" &amp; Notas_Finales!$C:$C = V$1)), ""x"")"),"x")</f>
        <v>x</v>
      </c>
      <c r="W9" s="15" t="str">
        <f>IFERROR(__xludf.DUMMYFUNCTION("IFERROR(MAX(FILTER(Notas_Finales!$D:$D, Notas_Finales!$A:$A = $B9, VALUE(Notas_Finales!$B:$B) &amp; ""/"" &amp; Notas_Finales!$C:$C = W$1)), ""x"")"),"x")</f>
        <v>x</v>
      </c>
      <c r="X9" s="15" t="str">
        <f>IFERROR(__xludf.DUMMYFUNCTION("IFERROR(MAX(FILTER(Notas_Finales!$D:$D, Notas_Finales!$A:$A = $B9, VALUE(Notas_Finales!$B:$B) &amp; ""/"" &amp; Notas_Finales!$C:$C = X$1)), ""x"")"),"x")</f>
        <v>x</v>
      </c>
      <c r="Y9" s="15" t="str">
        <f>IFERROR(__xludf.DUMMYFUNCTION("IFERROR(MAX(FILTER(Notas_Finales!$D:$D, Notas_Finales!$A:$A = $B9, VALUE(Notas_Finales!$B:$B) &amp; ""/"" &amp; Notas_Finales!$C:$C = Y$1)), ""x"")"),"x")</f>
        <v>x</v>
      </c>
      <c r="Z9" s="15" t="str">
        <f>IFERROR(__xludf.DUMMYFUNCTION("IFERROR(MAX(FILTER(Notas_Finales!$D:$D, Notas_Finales!$A:$A = $B9, VALUE(Notas_Finales!$B:$B) &amp; ""/"" &amp; Notas_Finales!$C:$C = Z$1)), ""x"")"),"x")</f>
        <v>x</v>
      </c>
      <c r="AA9" s="15" t="str">
        <f>IFERROR(__xludf.DUMMYFUNCTION("IFERROR(MAX(FILTER(Notas_Finales!$D:$D, Notas_Finales!$A:$A = $B9, VALUE(Notas_Finales!$B:$B) &amp; ""/"" &amp; Notas_Finales!$C:$C = AA$1)), ""x"")"),"x")</f>
        <v>x</v>
      </c>
    </row>
    <row r="10">
      <c r="A10" s="12">
        <v>9.0</v>
      </c>
      <c r="B10" s="12" t="str">
        <f>IFERROR(__xludf.DUMMYFUNCTION("""COMPUTED_VALUE"""),"GÓMEZ IRARZÁBAL, Emanuel")</f>
        <v>GÓMEZ IRARZÁBAL, Emanuel</v>
      </c>
      <c r="C10" s="15" t="str">
        <f>IFERROR(__xludf.DUMMYFUNCTION("IFERROR(MAX(FILTER(Notas_Finales!$D:$D, Notas_Finales!$A:$A = $B10, VALUE(Notas_Finales!$B:$B) &amp; ""/"" &amp; Notas_Finales!$C:$C = C$1)), ""x"")"),"x")</f>
        <v>x</v>
      </c>
      <c r="D10" s="15" t="str">
        <f>IFERROR(__xludf.DUMMYFUNCTION("IFERROR(MAX(FILTER(Notas_Finales!$D:$D, Notas_Finales!$A:$A = $B10, VALUE(Notas_Finales!$B:$B) &amp; ""/"" &amp; Notas_Finales!$C:$C = D$1)), ""x"")"),"x")</f>
        <v>x</v>
      </c>
      <c r="E10" s="15" t="str">
        <f>IFERROR(__xludf.DUMMYFUNCTION("IFERROR(MAX(FILTER(Notas_Finales!$D:$D, Notas_Finales!$A:$A = $B10, VALUE(Notas_Finales!$B:$B) &amp; ""/"" &amp; Notas_Finales!$C:$C = E$1)), ""x"")"),"x")</f>
        <v>x</v>
      </c>
      <c r="F10" s="15" t="str">
        <f>IFERROR(__xludf.DUMMYFUNCTION("IFERROR(MAX(FILTER(Notas_Finales!$D:$D, Notas_Finales!$A:$A = $B10, VALUE(Notas_Finales!$B:$B) &amp; ""/"" &amp; Notas_Finales!$C:$C = F$1)), ""x"")"),"x")</f>
        <v>x</v>
      </c>
      <c r="G10" s="15" t="str">
        <f>IFERROR(__xludf.DUMMYFUNCTION("IFERROR(MAX(FILTER(Notas_Finales!$D:$D, Notas_Finales!$A:$A = $B10, VALUE(Notas_Finales!$B:$B) &amp; ""/"" &amp; Notas_Finales!$C:$C = G$1)), ""x"")"),"x")</f>
        <v>x</v>
      </c>
      <c r="H10" s="15" t="str">
        <f>IFERROR(__xludf.DUMMYFUNCTION("IFERROR(MAX(FILTER(Notas_Finales!$D:$D, Notas_Finales!$A:$A = $B10, VALUE(Notas_Finales!$B:$B) &amp; ""/"" &amp; Notas_Finales!$C:$C = H$1)), ""x"")"),"x")</f>
        <v>x</v>
      </c>
      <c r="I10" s="15" t="str">
        <f>IFERROR(__xludf.DUMMYFUNCTION("IFERROR(MAX(FILTER(Notas_Finales!$D:$D, Notas_Finales!$A:$A = $B10, VALUE(Notas_Finales!$B:$B) &amp; ""/"" &amp; Notas_Finales!$C:$C = I$1)), ""x"")"),"x")</f>
        <v>x</v>
      </c>
      <c r="J10" s="15" t="str">
        <f>IFERROR(__xludf.DUMMYFUNCTION("IFERROR(MAX(FILTER(Notas_Finales!$D:$D, Notas_Finales!$A:$A = $B10, VALUE(Notas_Finales!$B:$B) &amp; ""/"" &amp; Notas_Finales!$C:$C = J$1)), ""x"")"),"x")</f>
        <v>x</v>
      </c>
      <c r="K10" s="15" t="str">
        <f>IFERROR(__xludf.DUMMYFUNCTION("IFERROR(MAX(FILTER(Notas_Finales!$D:$D, Notas_Finales!$A:$A = $B10, VALUE(Notas_Finales!$B:$B) &amp; ""/"" &amp; Notas_Finales!$C:$C = K$1)), ""x"")"),"x")</f>
        <v>x</v>
      </c>
      <c r="L10" s="15" t="str">
        <f>IFERROR(__xludf.DUMMYFUNCTION("IFERROR(MAX(FILTER(Notas_Finales!$D:$D, Notas_Finales!$A:$A = $B10, VALUE(Notas_Finales!$B:$B) &amp; ""/"" &amp; Notas_Finales!$C:$C = L$1)), ""x"")"),"x")</f>
        <v>x</v>
      </c>
      <c r="M10" s="15" t="str">
        <f>IFERROR(__xludf.DUMMYFUNCTION("IFERROR(MAX(FILTER(Notas_Finales!$D:$D, Notas_Finales!$A:$A = $B10, VALUE(Notas_Finales!$B:$B) &amp; ""/"" &amp; Notas_Finales!$C:$C = M$1)), ""x"")"),"x")</f>
        <v>x</v>
      </c>
      <c r="N10" s="15" t="str">
        <f>IFERROR(__xludf.DUMMYFUNCTION("IFERROR(MAX(FILTER(Notas_Finales!$D:$D, Notas_Finales!$A:$A = $B10, VALUE(Notas_Finales!$B:$B) &amp; ""/"" &amp; Notas_Finales!$C:$C = N$1)), ""x"")"),"x")</f>
        <v>x</v>
      </c>
      <c r="O10" s="15" t="str">
        <f>IFERROR(__xludf.DUMMYFUNCTION("IFERROR(MAX(FILTER(Notas_Finales!$D:$D, Notas_Finales!$A:$A = $B10, VALUE(Notas_Finales!$B:$B) &amp; ""/"" &amp; Notas_Finales!$C:$C = O$1)), ""x"")"),"x")</f>
        <v>x</v>
      </c>
      <c r="P10" s="15" t="str">
        <f>IFERROR(__xludf.DUMMYFUNCTION("IFERROR(MAX(FILTER(Notas_Finales!$D:$D, Notas_Finales!$A:$A = $B10, VALUE(Notas_Finales!$B:$B) &amp; ""/"" &amp; Notas_Finales!$C:$C = P$1)), ""x"")"),"x")</f>
        <v>x</v>
      </c>
      <c r="Q10" s="15" t="str">
        <f>IFERROR(__xludf.DUMMYFUNCTION("IFERROR(MAX(FILTER(Notas_Finales!$D:$D, Notas_Finales!$A:$A = $B10, VALUE(Notas_Finales!$B:$B) &amp; ""/"" &amp; Notas_Finales!$C:$C = Q$1)), ""x"")"),"x")</f>
        <v>x</v>
      </c>
      <c r="R10" s="15" t="str">
        <f>IFERROR(__xludf.DUMMYFUNCTION("IFERROR(MAX(FILTER(Notas_Finales!$D:$D, Notas_Finales!$A:$A = $B10, VALUE(Notas_Finales!$B:$B) &amp; ""/"" &amp; Notas_Finales!$C:$C = R$1)), ""x"")"),"x")</f>
        <v>x</v>
      </c>
      <c r="S10" s="15" t="str">
        <f>IFERROR(__xludf.DUMMYFUNCTION("IFERROR(MAX(FILTER(Notas_Finales!$D:$D, Notas_Finales!$A:$A = $B10, VALUE(Notas_Finales!$B:$B) &amp; ""/"" &amp; Notas_Finales!$C:$C = S$1)), ""x"")"),"x")</f>
        <v>x</v>
      </c>
      <c r="T10" s="15" t="str">
        <f>IFERROR(__xludf.DUMMYFUNCTION("IFERROR(MAX(FILTER(Notas_Finales!$D:$D, Notas_Finales!$A:$A = $B10, VALUE(Notas_Finales!$B:$B) &amp; ""/"" &amp; Notas_Finales!$C:$C = T$1)), ""x"")"),"x")</f>
        <v>x</v>
      </c>
      <c r="U10" s="15" t="str">
        <f>IFERROR(__xludf.DUMMYFUNCTION("IFERROR(MAX(FILTER(Notas_Finales!$D:$D, Notas_Finales!$A:$A = $B10, VALUE(Notas_Finales!$B:$B) &amp; ""/"" &amp; Notas_Finales!$C:$C = U$1)), ""x"")"),"x")</f>
        <v>x</v>
      </c>
      <c r="V10" s="15" t="str">
        <f>IFERROR(__xludf.DUMMYFUNCTION("IFERROR(MAX(FILTER(Notas_Finales!$D:$D, Notas_Finales!$A:$A = $B10, VALUE(Notas_Finales!$B:$B) &amp; ""/"" &amp; Notas_Finales!$C:$C = V$1)), ""x"")"),"x")</f>
        <v>x</v>
      </c>
      <c r="W10" s="15" t="str">
        <f>IFERROR(__xludf.DUMMYFUNCTION("IFERROR(MAX(FILTER(Notas_Finales!$D:$D, Notas_Finales!$A:$A = $B10, VALUE(Notas_Finales!$B:$B) &amp; ""/"" &amp; Notas_Finales!$C:$C = W$1)), ""x"")"),"x")</f>
        <v>x</v>
      </c>
      <c r="X10" s="15" t="str">
        <f>IFERROR(__xludf.DUMMYFUNCTION("IFERROR(MAX(FILTER(Notas_Finales!$D:$D, Notas_Finales!$A:$A = $B10, VALUE(Notas_Finales!$B:$B) &amp; ""/"" &amp; Notas_Finales!$C:$C = X$1)), ""x"")"),"x")</f>
        <v>x</v>
      </c>
      <c r="Y10" s="15" t="str">
        <f>IFERROR(__xludf.DUMMYFUNCTION("IFERROR(MAX(FILTER(Notas_Finales!$D:$D, Notas_Finales!$A:$A = $B10, VALUE(Notas_Finales!$B:$B) &amp; ""/"" &amp; Notas_Finales!$C:$C = Y$1)), ""x"")"),"x")</f>
        <v>x</v>
      </c>
      <c r="Z10" s="15" t="str">
        <f>IFERROR(__xludf.DUMMYFUNCTION("IFERROR(MAX(FILTER(Notas_Finales!$D:$D, Notas_Finales!$A:$A = $B10, VALUE(Notas_Finales!$B:$B) &amp; ""/"" &amp; Notas_Finales!$C:$C = Z$1)), ""x"")"),"x")</f>
        <v>x</v>
      </c>
      <c r="AA10" s="15" t="str">
        <f>IFERROR(__xludf.DUMMYFUNCTION("IFERROR(MAX(FILTER(Notas_Finales!$D:$D, Notas_Finales!$A:$A = $B10, VALUE(Notas_Finales!$B:$B) &amp; ""/"" &amp; Notas_Finales!$C:$C = AA$1)), ""x"")"),"x")</f>
        <v>x</v>
      </c>
    </row>
    <row r="11">
      <c r="A11" s="12">
        <v>10.0</v>
      </c>
      <c r="B11" s="12" t="str">
        <f>IFERROR(__xludf.DUMMYFUNCTION("""COMPUTED_VALUE"""),"GONZÁLEZ ANTIVERO, Ariadna")</f>
        <v>GONZÁLEZ ANTIVERO, Ariadna</v>
      </c>
      <c r="C11" s="15">
        <f>IFERROR(__xludf.DUMMYFUNCTION("IFERROR(MAX(FILTER(Notas_Finales!$D:$D, Notas_Finales!$A:$A = $B11, VALUE(Notas_Finales!$B:$B) &amp; ""/"" &amp; Notas_Finales!$C:$C = C$1)), ""x"")"),5.0)</f>
        <v>5</v>
      </c>
      <c r="D11" s="15" t="str">
        <f>IFERROR(__xludf.DUMMYFUNCTION("IFERROR(MAX(FILTER(Notas_Finales!$D:$D, Notas_Finales!$A:$A = $B11, VALUE(Notas_Finales!$B:$B) &amp; ""/"" &amp; Notas_Finales!$C:$C = D$1)), ""x"")"),"x")</f>
        <v>x</v>
      </c>
      <c r="E11" s="15" t="str">
        <f>IFERROR(__xludf.DUMMYFUNCTION("IFERROR(MAX(FILTER(Notas_Finales!$D:$D, Notas_Finales!$A:$A = $B11, VALUE(Notas_Finales!$B:$B) &amp; ""/"" &amp; Notas_Finales!$C:$C = E$1)), ""x"")"),"x")</f>
        <v>x</v>
      </c>
      <c r="F11" s="15" t="str">
        <f>IFERROR(__xludf.DUMMYFUNCTION("IFERROR(MAX(FILTER(Notas_Finales!$D:$D, Notas_Finales!$A:$A = $B11, VALUE(Notas_Finales!$B:$B) &amp; ""/"" &amp; Notas_Finales!$C:$C = F$1)), ""x"")"),"x")</f>
        <v>x</v>
      </c>
      <c r="G11" s="15" t="str">
        <f>IFERROR(__xludf.DUMMYFUNCTION("IFERROR(MAX(FILTER(Notas_Finales!$D:$D, Notas_Finales!$A:$A = $B11, VALUE(Notas_Finales!$B:$B) &amp; ""/"" &amp; Notas_Finales!$C:$C = G$1)), ""x"")"),"x")</f>
        <v>x</v>
      </c>
      <c r="H11" s="15" t="str">
        <f>IFERROR(__xludf.DUMMYFUNCTION("IFERROR(MAX(FILTER(Notas_Finales!$D:$D, Notas_Finales!$A:$A = $B11, VALUE(Notas_Finales!$B:$B) &amp; ""/"" &amp; Notas_Finales!$C:$C = H$1)), ""x"")"),"x")</f>
        <v>x</v>
      </c>
      <c r="I11" s="15" t="str">
        <f>IFERROR(__xludf.DUMMYFUNCTION("IFERROR(MAX(FILTER(Notas_Finales!$D:$D, Notas_Finales!$A:$A = $B11, VALUE(Notas_Finales!$B:$B) &amp; ""/"" &amp; Notas_Finales!$C:$C = I$1)), ""x"")"),"x")</f>
        <v>x</v>
      </c>
      <c r="J11" s="15" t="str">
        <f>IFERROR(__xludf.DUMMYFUNCTION("IFERROR(MAX(FILTER(Notas_Finales!$D:$D, Notas_Finales!$A:$A = $B11, VALUE(Notas_Finales!$B:$B) &amp; ""/"" &amp; Notas_Finales!$C:$C = J$1)), ""x"")"),"x")</f>
        <v>x</v>
      </c>
      <c r="K11" s="15" t="str">
        <f>IFERROR(__xludf.DUMMYFUNCTION("IFERROR(MAX(FILTER(Notas_Finales!$D:$D, Notas_Finales!$A:$A = $B11, VALUE(Notas_Finales!$B:$B) &amp; ""/"" &amp; Notas_Finales!$C:$C = K$1)), ""x"")"),"x")</f>
        <v>x</v>
      </c>
      <c r="L11" s="15" t="str">
        <f>IFERROR(__xludf.DUMMYFUNCTION("IFERROR(MAX(FILTER(Notas_Finales!$D:$D, Notas_Finales!$A:$A = $B11, VALUE(Notas_Finales!$B:$B) &amp; ""/"" &amp; Notas_Finales!$C:$C = L$1)), ""x"")"),"x")</f>
        <v>x</v>
      </c>
      <c r="M11" s="15" t="str">
        <f>IFERROR(__xludf.DUMMYFUNCTION("IFERROR(MAX(FILTER(Notas_Finales!$D:$D, Notas_Finales!$A:$A = $B11, VALUE(Notas_Finales!$B:$B) &amp; ""/"" &amp; Notas_Finales!$C:$C = M$1)), ""x"")"),"x")</f>
        <v>x</v>
      </c>
      <c r="N11" s="15" t="str">
        <f>IFERROR(__xludf.DUMMYFUNCTION("IFERROR(MAX(FILTER(Notas_Finales!$D:$D, Notas_Finales!$A:$A = $B11, VALUE(Notas_Finales!$B:$B) &amp; ""/"" &amp; Notas_Finales!$C:$C = N$1)), ""x"")"),"x")</f>
        <v>x</v>
      </c>
      <c r="O11" s="15" t="str">
        <f>IFERROR(__xludf.DUMMYFUNCTION("IFERROR(MAX(FILTER(Notas_Finales!$D:$D, Notas_Finales!$A:$A = $B11, VALUE(Notas_Finales!$B:$B) &amp; ""/"" &amp; Notas_Finales!$C:$C = O$1)), ""x"")"),"x")</f>
        <v>x</v>
      </c>
      <c r="P11" s="15" t="str">
        <f>IFERROR(__xludf.DUMMYFUNCTION("IFERROR(MAX(FILTER(Notas_Finales!$D:$D, Notas_Finales!$A:$A = $B11, VALUE(Notas_Finales!$B:$B) &amp; ""/"" &amp; Notas_Finales!$C:$C = P$1)), ""x"")"),"x")</f>
        <v>x</v>
      </c>
      <c r="Q11" s="15" t="str">
        <f>IFERROR(__xludf.DUMMYFUNCTION("IFERROR(MAX(FILTER(Notas_Finales!$D:$D, Notas_Finales!$A:$A = $B11, VALUE(Notas_Finales!$B:$B) &amp; ""/"" &amp; Notas_Finales!$C:$C = Q$1)), ""x"")"),"x")</f>
        <v>x</v>
      </c>
      <c r="R11" s="15" t="str">
        <f>IFERROR(__xludf.DUMMYFUNCTION("IFERROR(MAX(FILTER(Notas_Finales!$D:$D, Notas_Finales!$A:$A = $B11, VALUE(Notas_Finales!$B:$B) &amp; ""/"" &amp; Notas_Finales!$C:$C = R$1)), ""x"")"),"x")</f>
        <v>x</v>
      </c>
      <c r="S11" s="15" t="str">
        <f>IFERROR(__xludf.DUMMYFUNCTION("IFERROR(MAX(FILTER(Notas_Finales!$D:$D, Notas_Finales!$A:$A = $B11, VALUE(Notas_Finales!$B:$B) &amp; ""/"" &amp; Notas_Finales!$C:$C = S$1)), ""x"")"),"x")</f>
        <v>x</v>
      </c>
      <c r="T11" s="15" t="str">
        <f>IFERROR(__xludf.DUMMYFUNCTION("IFERROR(MAX(FILTER(Notas_Finales!$D:$D, Notas_Finales!$A:$A = $B11, VALUE(Notas_Finales!$B:$B) &amp; ""/"" &amp; Notas_Finales!$C:$C = T$1)), ""x"")"),"x")</f>
        <v>x</v>
      </c>
      <c r="U11" s="15" t="str">
        <f>IFERROR(__xludf.DUMMYFUNCTION("IFERROR(MAX(FILTER(Notas_Finales!$D:$D, Notas_Finales!$A:$A = $B11, VALUE(Notas_Finales!$B:$B) &amp; ""/"" &amp; Notas_Finales!$C:$C = U$1)), ""x"")"),"x")</f>
        <v>x</v>
      </c>
      <c r="V11" s="15" t="str">
        <f>IFERROR(__xludf.DUMMYFUNCTION("IFERROR(MAX(FILTER(Notas_Finales!$D:$D, Notas_Finales!$A:$A = $B11, VALUE(Notas_Finales!$B:$B) &amp; ""/"" &amp; Notas_Finales!$C:$C = V$1)), ""x"")"),"x")</f>
        <v>x</v>
      </c>
      <c r="W11" s="15" t="str">
        <f>IFERROR(__xludf.DUMMYFUNCTION("IFERROR(MAX(FILTER(Notas_Finales!$D:$D, Notas_Finales!$A:$A = $B11, VALUE(Notas_Finales!$B:$B) &amp; ""/"" &amp; Notas_Finales!$C:$C = W$1)), ""x"")"),"x")</f>
        <v>x</v>
      </c>
      <c r="X11" s="15" t="str">
        <f>IFERROR(__xludf.DUMMYFUNCTION("IFERROR(MAX(FILTER(Notas_Finales!$D:$D, Notas_Finales!$A:$A = $B11, VALUE(Notas_Finales!$B:$B) &amp; ""/"" &amp; Notas_Finales!$C:$C = X$1)), ""x"")"),"x")</f>
        <v>x</v>
      </c>
      <c r="Y11" s="15" t="str">
        <f>IFERROR(__xludf.DUMMYFUNCTION("IFERROR(MAX(FILTER(Notas_Finales!$D:$D, Notas_Finales!$A:$A = $B11, VALUE(Notas_Finales!$B:$B) &amp; ""/"" &amp; Notas_Finales!$C:$C = Y$1)), ""x"")"),"x")</f>
        <v>x</v>
      </c>
      <c r="Z11" s="15" t="str">
        <f>IFERROR(__xludf.DUMMYFUNCTION("IFERROR(MAX(FILTER(Notas_Finales!$D:$D, Notas_Finales!$A:$A = $B11, VALUE(Notas_Finales!$B:$B) &amp; ""/"" &amp; Notas_Finales!$C:$C = Z$1)), ""x"")"),"x")</f>
        <v>x</v>
      </c>
      <c r="AA11" s="15" t="str">
        <f>IFERROR(__xludf.DUMMYFUNCTION("IFERROR(MAX(FILTER(Notas_Finales!$D:$D, Notas_Finales!$A:$A = $B11, VALUE(Notas_Finales!$B:$B) &amp; ""/"" &amp; Notas_Finales!$C:$C = AA$1)), ""x"")"),"x")</f>
        <v>x</v>
      </c>
    </row>
    <row r="12">
      <c r="A12" s="12">
        <v>11.0</v>
      </c>
      <c r="B12" s="12" t="str">
        <f>IFERROR(__xludf.DUMMYFUNCTION("""COMPUTED_VALUE"""),"GUERRERO, Marina")</f>
        <v>GUERRERO, Marina</v>
      </c>
      <c r="C12" s="15">
        <f>IFERROR(__xludf.DUMMYFUNCTION("IFERROR(MAX(FILTER(Notas_Finales!$D:$D, Notas_Finales!$A:$A = $B12, VALUE(Notas_Finales!$B:$B) &amp; ""/"" &amp; Notas_Finales!$C:$C = C$1)), ""x"")"),2.0)</f>
        <v>2</v>
      </c>
      <c r="D12" s="15" t="str">
        <f>IFERROR(__xludf.DUMMYFUNCTION("IFERROR(MAX(FILTER(Notas_Finales!$D:$D, Notas_Finales!$A:$A = $B12, VALUE(Notas_Finales!$B:$B) &amp; ""/"" &amp; Notas_Finales!$C:$C = D$1)), ""x"")"),"x")</f>
        <v>x</v>
      </c>
      <c r="E12" s="15" t="str">
        <f>IFERROR(__xludf.DUMMYFUNCTION("IFERROR(MAX(FILTER(Notas_Finales!$D:$D, Notas_Finales!$A:$A = $B12, VALUE(Notas_Finales!$B:$B) &amp; ""/"" &amp; Notas_Finales!$C:$C = E$1)), ""x"")"),"x")</f>
        <v>x</v>
      </c>
      <c r="F12" s="15" t="str">
        <f>IFERROR(__xludf.DUMMYFUNCTION("IFERROR(MAX(FILTER(Notas_Finales!$D:$D, Notas_Finales!$A:$A = $B12, VALUE(Notas_Finales!$B:$B) &amp; ""/"" &amp; Notas_Finales!$C:$C = F$1)), ""x"")"),"x")</f>
        <v>x</v>
      </c>
      <c r="G12" s="15" t="str">
        <f>IFERROR(__xludf.DUMMYFUNCTION("IFERROR(MAX(FILTER(Notas_Finales!$D:$D, Notas_Finales!$A:$A = $B12, VALUE(Notas_Finales!$B:$B) &amp; ""/"" &amp; Notas_Finales!$C:$C = G$1)), ""x"")"),"x")</f>
        <v>x</v>
      </c>
      <c r="H12" s="15" t="str">
        <f>IFERROR(__xludf.DUMMYFUNCTION("IFERROR(MAX(FILTER(Notas_Finales!$D:$D, Notas_Finales!$A:$A = $B12, VALUE(Notas_Finales!$B:$B) &amp; ""/"" &amp; Notas_Finales!$C:$C = H$1)), ""x"")"),"x")</f>
        <v>x</v>
      </c>
      <c r="I12" s="15" t="str">
        <f>IFERROR(__xludf.DUMMYFUNCTION("IFERROR(MAX(FILTER(Notas_Finales!$D:$D, Notas_Finales!$A:$A = $B12, VALUE(Notas_Finales!$B:$B) &amp; ""/"" &amp; Notas_Finales!$C:$C = I$1)), ""x"")"),"x")</f>
        <v>x</v>
      </c>
      <c r="J12" s="15" t="str">
        <f>IFERROR(__xludf.DUMMYFUNCTION("IFERROR(MAX(FILTER(Notas_Finales!$D:$D, Notas_Finales!$A:$A = $B12, VALUE(Notas_Finales!$B:$B) &amp; ""/"" &amp; Notas_Finales!$C:$C = J$1)), ""x"")"),"x")</f>
        <v>x</v>
      </c>
      <c r="K12" s="15" t="str">
        <f>IFERROR(__xludf.DUMMYFUNCTION("IFERROR(MAX(FILTER(Notas_Finales!$D:$D, Notas_Finales!$A:$A = $B12, VALUE(Notas_Finales!$B:$B) &amp; ""/"" &amp; Notas_Finales!$C:$C = K$1)), ""x"")"),"x")</f>
        <v>x</v>
      </c>
      <c r="L12" s="15" t="str">
        <f>IFERROR(__xludf.DUMMYFUNCTION("IFERROR(MAX(FILTER(Notas_Finales!$D:$D, Notas_Finales!$A:$A = $B12, VALUE(Notas_Finales!$B:$B) &amp; ""/"" &amp; Notas_Finales!$C:$C = L$1)), ""x"")"),"x")</f>
        <v>x</v>
      </c>
      <c r="M12" s="15" t="str">
        <f>IFERROR(__xludf.DUMMYFUNCTION("IFERROR(MAX(FILTER(Notas_Finales!$D:$D, Notas_Finales!$A:$A = $B12, VALUE(Notas_Finales!$B:$B) &amp; ""/"" &amp; Notas_Finales!$C:$C = M$1)), ""x"")"),"x")</f>
        <v>x</v>
      </c>
      <c r="N12" s="15" t="str">
        <f>IFERROR(__xludf.DUMMYFUNCTION("IFERROR(MAX(FILTER(Notas_Finales!$D:$D, Notas_Finales!$A:$A = $B12, VALUE(Notas_Finales!$B:$B) &amp; ""/"" &amp; Notas_Finales!$C:$C = N$1)), ""x"")"),"x")</f>
        <v>x</v>
      </c>
      <c r="O12" s="15" t="str">
        <f>IFERROR(__xludf.DUMMYFUNCTION("IFERROR(MAX(FILTER(Notas_Finales!$D:$D, Notas_Finales!$A:$A = $B12, VALUE(Notas_Finales!$B:$B) &amp; ""/"" &amp; Notas_Finales!$C:$C = O$1)), ""x"")"),"x")</f>
        <v>x</v>
      </c>
      <c r="P12" s="15" t="str">
        <f>IFERROR(__xludf.DUMMYFUNCTION("IFERROR(MAX(FILTER(Notas_Finales!$D:$D, Notas_Finales!$A:$A = $B12, VALUE(Notas_Finales!$B:$B) &amp; ""/"" &amp; Notas_Finales!$C:$C = P$1)), ""x"")"),"x")</f>
        <v>x</v>
      </c>
      <c r="Q12" s="15" t="str">
        <f>IFERROR(__xludf.DUMMYFUNCTION("IFERROR(MAX(FILTER(Notas_Finales!$D:$D, Notas_Finales!$A:$A = $B12, VALUE(Notas_Finales!$B:$B) &amp; ""/"" &amp; Notas_Finales!$C:$C = Q$1)), ""x"")"),"x")</f>
        <v>x</v>
      </c>
      <c r="R12" s="15" t="str">
        <f>IFERROR(__xludf.DUMMYFUNCTION("IFERROR(MAX(FILTER(Notas_Finales!$D:$D, Notas_Finales!$A:$A = $B12, VALUE(Notas_Finales!$B:$B) &amp; ""/"" &amp; Notas_Finales!$C:$C = R$1)), ""x"")"),"x")</f>
        <v>x</v>
      </c>
      <c r="S12" s="15" t="str">
        <f>IFERROR(__xludf.DUMMYFUNCTION("IFERROR(MAX(FILTER(Notas_Finales!$D:$D, Notas_Finales!$A:$A = $B12, VALUE(Notas_Finales!$B:$B) &amp; ""/"" &amp; Notas_Finales!$C:$C = S$1)), ""x"")"),"x")</f>
        <v>x</v>
      </c>
      <c r="T12" s="15" t="str">
        <f>IFERROR(__xludf.DUMMYFUNCTION("IFERROR(MAX(FILTER(Notas_Finales!$D:$D, Notas_Finales!$A:$A = $B12, VALUE(Notas_Finales!$B:$B) &amp; ""/"" &amp; Notas_Finales!$C:$C = T$1)), ""x"")"),"x")</f>
        <v>x</v>
      </c>
      <c r="U12" s="15" t="str">
        <f>IFERROR(__xludf.DUMMYFUNCTION("IFERROR(MAX(FILTER(Notas_Finales!$D:$D, Notas_Finales!$A:$A = $B12, VALUE(Notas_Finales!$B:$B) &amp; ""/"" &amp; Notas_Finales!$C:$C = U$1)), ""x"")"),"x")</f>
        <v>x</v>
      </c>
      <c r="V12" s="15" t="str">
        <f>IFERROR(__xludf.DUMMYFUNCTION("IFERROR(MAX(FILTER(Notas_Finales!$D:$D, Notas_Finales!$A:$A = $B12, VALUE(Notas_Finales!$B:$B) &amp; ""/"" &amp; Notas_Finales!$C:$C = V$1)), ""x"")"),"x")</f>
        <v>x</v>
      </c>
      <c r="W12" s="15" t="str">
        <f>IFERROR(__xludf.DUMMYFUNCTION("IFERROR(MAX(FILTER(Notas_Finales!$D:$D, Notas_Finales!$A:$A = $B12, VALUE(Notas_Finales!$B:$B) &amp; ""/"" &amp; Notas_Finales!$C:$C = W$1)), ""x"")"),"x")</f>
        <v>x</v>
      </c>
      <c r="X12" s="15" t="str">
        <f>IFERROR(__xludf.DUMMYFUNCTION("IFERROR(MAX(FILTER(Notas_Finales!$D:$D, Notas_Finales!$A:$A = $B12, VALUE(Notas_Finales!$B:$B) &amp; ""/"" &amp; Notas_Finales!$C:$C = X$1)), ""x"")"),"x")</f>
        <v>x</v>
      </c>
      <c r="Y12" s="15" t="str">
        <f>IFERROR(__xludf.DUMMYFUNCTION("IFERROR(MAX(FILTER(Notas_Finales!$D:$D, Notas_Finales!$A:$A = $B12, VALUE(Notas_Finales!$B:$B) &amp; ""/"" &amp; Notas_Finales!$C:$C = Y$1)), ""x"")"),"x")</f>
        <v>x</v>
      </c>
      <c r="Z12" s="15" t="str">
        <f>IFERROR(__xludf.DUMMYFUNCTION("IFERROR(MAX(FILTER(Notas_Finales!$D:$D, Notas_Finales!$A:$A = $B12, VALUE(Notas_Finales!$B:$B) &amp; ""/"" &amp; Notas_Finales!$C:$C = Z$1)), ""x"")"),"x")</f>
        <v>x</v>
      </c>
      <c r="AA12" s="15" t="str">
        <f>IFERROR(__xludf.DUMMYFUNCTION("IFERROR(MAX(FILTER(Notas_Finales!$D:$D, Notas_Finales!$A:$A = $B12, VALUE(Notas_Finales!$B:$B) &amp; ""/"" &amp; Notas_Finales!$C:$C = AA$1)), ""x"")"),"x")</f>
        <v>x</v>
      </c>
    </row>
    <row r="13">
      <c r="A13" s="12">
        <v>12.0</v>
      </c>
      <c r="B13" s="12" t="str">
        <f>IFERROR(__xludf.DUMMYFUNCTION("""COMPUTED_VALUE"""),"HUALAMPA, Benjamín Leonel")</f>
        <v>HUALAMPA, Benjamín Leonel</v>
      </c>
      <c r="C13" s="15">
        <f>IFERROR(__xludf.DUMMYFUNCTION("IFERROR(MAX(FILTER(Notas_Finales!$D:$D, Notas_Finales!$A:$A = $B13, VALUE(Notas_Finales!$B:$B) &amp; ""/"" &amp; Notas_Finales!$C:$C = C$1)), ""x"")"),2.0)</f>
        <v>2</v>
      </c>
      <c r="D13" s="15" t="str">
        <f>IFERROR(__xludf.DUMMYFUNCTION("IFERROR(MAX(FILTER(Notas_Finales!$D:$D, Notas_Finales!$A:$A = $B13, VALUE(Notas_Finales!$B:$B) &amp; ""/"" &amp; Notas_Finales!$C:$C = D$1)), ""x"")"),"x")</f>
        <v>x</v>
      </c>
      <c r="E13" s="15" t="str">
        <f>IFERROR(__xludf.DUMMYFUNCTION("IFERROR(MAX(FILTER(Notas_Finales!$D:$D, Notas_Finales!$A:$A = $B13, VALUE(Notas_Finales!$B:$B) &amp; ""/"" &amp; Notas_Finales!$C:$C = E$1)), ""x"")"),"x")</f>
        <v>x</v>
      </c>
      <c r="F13" s="15" t="str">
        <f>IFERROR(__xludf.DUMMYFUNCTION("IFERROR(MAX(FILTER(Notas_Finales!$D:$D, Notas_Finales!$A:$A = $B13, VALUE(Notas_Finales!$B:$B) &amp; ""/"" &amp; Notas_Finales!$C:$C = F$1)), ""x"")"),"x")</f>
        <v>x</v>
      </c>
      <c r="G13" s="15" t="str">
        <f>IFERROR(__xludf.DUMMYFUNCTION("IFERROR(MAX(FILTER(Notas_Finales!$D:$D, Notas_Finales!$A:$A = $B13, VALUE(Notas_Finales!$B:$B) &amp; ""/"" &amp; Notas_Finales!$C:$C = G$1)), ""x"")"),"x")</f>
        <v>x</v>
      </c>
      <c r="H13" s="15" t="str">
        <f>IFERROR(__xludf.DUMMYFUNCTION("IFERROR(MAX(FILTER(Notas_Finales!$D:$D, Notas_Finales!$A:$A = $B13, VALUE(Notas_Finales!$B:$B) &amp; ""/"" &amp; Notas_Finales!$C:$C = H$1)), ""x"")"),"x")</f>
        <v>x</v>
      </c>
      <c r="I13" s="15" t="str">
        <f>IFERROR(__xludf.DUMMYFUNCTION("IFERROR(MAX(FILTER(Notas_Finales!$D:$D, Notas_Finales!$A:$A = $B13, VALUE(Notas_Finales!$B:$B) &amp; ""/"" &amp; Notas_Finales!$C:$C = I$1)), ""x"")"),"x")</f>
        <v>x</v>
      </c>
      <c r="J13" s="15" t="str">
        <f>IFERROR(__xludf.DUMMYFUNCTION("IFERROR(MAX(FILTER(Notas_Finales!$D:$D, Notas_Finales!$A:$A = $B13, VALUE(Notas_Finales!$B:$B) &amp; ""/"" &amp; Notas_Finales!$C:$C = J$1)), ""x"")"),"x")</f>
        <v>x</v>
      </c>
      <c r="K13" s="15" t="str">
        <f>IFERROR(__xludf.DUMMYFUNCTION("IFERROR(MAX(FILTER(Notas_Finales!$D:$D, Notas_Finales!$A:$A = $B13, VALUE(Notas_Finales!$B:$B) &amp; ""/"" &amp; Notas_Finales!$C:$C = K$1)), ""x"")"),"x")</f>
        <v>x</v>
      </c>
      <c r="L13" s="15" t="str">
        <f>IFERROR(__xludf.DUMMYFUNCTION("IFERROR(MAX(FILTER(Notas_Finales!$D:$D, Notas_Finales!$A:$A = $B13, VALUE(Notas_Finales!$B:$B) &amp; ""/"" &amp; Notas_Finales!$C:$C = L$1)), ""x"")"),"x")</f>
        <v>x</v>
      </c>
      <c r="M13" s="15" t="str">
        <f>IFERROR(__xludf.DUMMYFUNCTION("IFERROR(MAX(FILTER(Notas_Finales!$D:$D, Notas_Finales!$A:$A = $B13, VALUE(Notas_Finales!$B:$B) &amp; ""/"" &amp; Notas_Finales!$C:$C = M$1)), ""x"")"),"x")</f>
        <v>x</v>
      </c>
      <c r="N13" s="15" t="str">
        <f>IFERROR(__xludf.DUMMYFUNCTION("IFERROR(MAX(FILTER(Notas_Finales!$D:$D, Notas_Finales!$A:$A = $B13, VALUE(Notas_Finales!$B:$B) &amp; ""/"" &amp; Notas_Finales!$C:$C = N$1)), ""x"")"),"x")</f>
        <v>x</v>
      </c>
      <c r="O13" s="15" t="str">
        <f>IFERROR(__xludf.DUMMYFUNCTION("IFERROR(MAX(FILTER(Notas_Finales!$D:$D, Notas_Finales!$A:$A = $B13, VALUE(Notas_Finales!$B:$B) &amp; ""/"" &amp; Notas_Finales!$C:$C = O$1)), ""x"")"),"x")</f>
        <v>x</v>
      </c>
      <c r="P13" s="15" t="str">
        <f>IFERROR(__xludf.DUMMYFUNCTION("IFERROR(MAX(FILTER(Notas_Finales!$D:$D, Notas_Finales!$A:$A = $B13, VALUE(Notas_Finales!$B:$B) &amp; ""/"" &amp; Notas_Finales!$C:$C = P$1)), ""x"")"),"x")</f>
        <v>x</v>
      </c>
      <c r="Q13" s="15" t="str">
        <f>IFERROR(__xludf.DUMMYFUNCTION("IFERROR(MAX(FILTER(Notas_Finales!$D:$D, Notas_Finales!$A:$A = $B13, VALUE(Notas_Finales!$B:$B) &amp; ""/"" &amp; Notas_Finales!$C:$C = Q$1)), ""x"")"),"x")</f>
        <v>x</v>
      </c>
      <c r="R13" s="15" t="str">
        <f>IFERROR(__xludf.DUMMYFUNCTION("IFERROR(MAX(FILTER(Notas_Finales!$D:$D, Notas_Finales!$A:$A = $B13, VALUE(Notas_Finales!$B:$B) &amp; ""/"" &amp; Notas_Finales!$C:$C = R$1)), ""x"")"),"x")</f>
        <v>x</v>
      </c>
      <c r="S13" s="15" t="str">
        <f>IFERROR(__xludf.DUMMYFUNCTION("IFERROR(MAX(FILTER(Notas_Finales!$D:$D, Notas_Finales!$A:$A = $B13, VALUE(Notas_Finales!$B:$B) &amp; ""/"" &amp; Notas_Finales!$C:$C = S$1)), ""x"")"),"x")</f>
        <v>x</v>
      </c>
      <c r="T13" s="15" t="str">
        <f>IFERROR(__xludf.DUMMYFUNCTION("IFERROR(MAX(FILTER(Notas_Finales!$D:$D, Notas_Finales!$A:$A = $B13, VALUE(Notas_Finales!$B:$B) &amp; ""/"" &amp; Notas_Finales!$C:$C = T$1)), ""x"")"),"x")</f>
        <v>x</v>
      </c>
      <c r="U13" s="15" t="str">
        <f>IFERROR(__xludf.DUMMYFUNCTION("IFERROR(MAX(FILTER(Notas_Finales!$D:$D, Notas_Finales!$A:$A = $B13, VALUE(Notas_Finales!$B:$B) &amp; ""/"" &amp; Notas_Finales!$C:$C = U$1)), ""x"")"),"x")</f>
        <v>x</v>
      </c>
      <c r="V13" s="15" t="str">
        <f>IFERROR(__xludf.DUMMYFUNCTION("IFERROR(MAX(FILTER(Notas_Finales!$D:$D, Notas_Finales!$A:$A = $B13, VALUE(Notas_Finales!$B:$B) &amp; ""/"" &amp; Notas_Finales!$C:$C = V$1)), ""x"")"),"x")</f>
        <v>x</v>
      </c>
      <c r="W13" s="15" t="str">
        <f>IFERROR(__xludf.DUMMYFUNCTION("IFERROR(MAX(FILTER(Notas_Finales!$D:$D, Notas_Finales!$A:$A = $B13, VALUE(Notas_Finales!$B:$B) &amp; ""/"" &amp; Notas_Finales!$C:$C = W$1)), ""x"")"),"x")</f>
        <v>x</v>
      </c>
      <c r="X13" s="15" t="str">
        <f>IFERROR(__xludf.DUMMYFUNCTION("IFERROR(MAX(FILTER(Notas_Finales!$D:$D, Notas_Finales!$A:$A = $B13, VALUE(Notas_Finales!$B:$B) &amp; ""/"" &amp; Notas_Finales!$C:$C = X$1)), ""x"")"),"x")</f>
        <v>x</v>
      </c>
      <c r="Y13" s="15" t="str">
        <f>IFERROR(__xludf.DUMMYFUNCTION("IFERROR(MAX(FILTER(Notas_Finales!$D:$D, Notas_Finales!$A:$A = $B13, VALUE(Notas_Finales!$B:$B) &amp; ""/"" &amp; Notas_Finales!$C:$C = Y$1)), ""x"")"),"x")</f>
        <v>x</v>
      </c>
      <c r="Z13" s="15" t="str">
        <f>IFERROR(__xludf.DUMMYFUNCTION("IFERROR(MAX(FILTER(Notas_Finales!$D:$D, Notas_Finales!$A:$A = $B13, VALUE(Notas_Finales!$B:$B) &amp; ""/"" &amp; Notas_Finales!$C:$C = Z$1)), ""x"")"),"x")</f>
        <v>x</v>
      </c>
      <c r="AA13" s="15" t="str">
        <f>IFERROR(__xludf.DUMMYFUNCTION("IFERROR(MAX(FILTER(Notas_Finales!$D:$D, Notas_Finales!$A:$A = $B13, VALUE(Notas_Finales!$B:$B) &amp; ""/"" &amp; Notas_Finales!$C:$C = AA$1)), ""x"")"),"x")</f>
        <v>x</v>
      </c>
    </row>
    <row r="14">
      <c r="A14" s="12">
        <v>13.0</v>
      </c>
      <c r="B14" s="12" t="str">
        <f>IFERROR(__xludf.DUMMYFUNCTION("""COMPUTED_VALUE"""),"MELGAREJO SEGOVIA, Micaela")</f>
        <v>MELGAREJO SEGOVIA, Micaela</v>
      </c>
      <c r="C14" s="15" t="str">
        <f>IFERROR(__xludf.DUMMYFUNCTION("IFERROR(MAX(FILTER(Notas_Finales!$D:$D, Notas_Finales!$A:$A = $B14, VALUE(Notas_Finales!$B:$B) &amp; ""/"" &amp; Notas_Finales!$C:$C = C$1)), ""x"")"),"x")</f>
        <v>x</v>
      </c>
      <c r="D14" s="15" t="str">
        <f>IFERROR(__xludf.DUMMYFUNCTION("IFERROR(MAX(FILTER(Notas_Finales!$D:$D, Notas_Finales!$A:$A = $B14, VALUE(Notas_Finales!$B:$B) &amp; ""/"" &amp; Notas_Finales!$C:$C = D$1)), ""x"")"),"x")</f>
        <v>x</v>
      </c>
      <c r="E14" s="15" t="str">
        <f>IFERROR(__xludf.DUMMYFUNCTION("IFERROR(MAX(FILTER(Notas_Finales!$D:$D, Notas_Finales!$A:$A = $B14, VALUE(Notas_Finales!$B:$B) &amp; ""/"" &amp; Notas_Finales!$C:$C = E$1)), ""x"")"),"x")</f>
        <v>x</v>
      </c>
      <c r="F14" s="15" t="str">
        <f>IFERROR(__xludf.DUMMYFUNCTION("IFERROR(MAX(FILTER(Notas_Finales!$D:$D, Notas_Finales!$A:$A = $B14, VALUE(Notas_Finales!$B:$B) &amp; ""/"" &amp; Notas_Finales!$C:$C = F$1)), ""x"")"),"x")</f>
        <v>x</v>
      </c>
      <c r="G14" s="15" t="str">
        <f>IFERROR(__xludf.DUMMYFUNCTION("IFERROR(MAX(FILTER(Notas_Finales!$D:$D, Notas_Finales!$A:$A = $B14, VALUE(Notas_Finales!$B:$B) &amp; ""/"" &amp; Notas_Finales!$C:$C = G$1)), ""x"")"),"x")</f>
        <v>x</v>
      </c>
      <c r="H14" s="15" t="str">
        <f>IFERROR(__xludf.DUMMYFUNCTION("IFERROR(MAX(FILTER(Notas_Finales!$D:$D, Notas_Finales!$A:$A = $B14, VALUE(Notas_Finales!$B:$B) &amp; ""/"" &amp; Notas_Finales!$C:$C = H$1)), ""x"")"),"x")</f>
        <v>x</v>
      </c>
      <c r="I14" s="15" t="str">
        <f>IFERROR(__xludf.DUMMYFUNCTION("IFERROR(MAX(FILTER(Notas_Finales!$D:$D, Notas_Finales!$A:$A = $B14, VALUE(Notas_Finales!$B:$B) &amp; ""/"" &amp; Notas_Finales!$C:$C = I$1)), ""x"")"),"x")</f>
        <v>x</v>
      </c>
      <c r="J14" s="15" t="str">
        <f>IFERROR(__xludf.DUMMYFUNCTION("IFERROR(MAX(FILTER(Notas_Finales!$D:$D, Notas_Finales!$A:$A = $B14, VALUE(Notas_Finales!$B:$B) &amp; ""/"" &amp; Notas_Finales!$C:$C = J$1)), ""x"")"),"x")</f>
        <v>x</v>
      </c>
      <c r="K14" s="15" t="str">
        <f>IFERROR(__xludf.DUMMYFUNCTION("IFERROR(MAX(FILTER(Notas_Finales!$D:$D, Notas_Finales!$A:$A = $B14, VALUE(Notas_Finales!$B:$B) &amp; ""/"" &amp; Notas_Finales!$C:$C = K$1)), ""x"")"),"x")</f>
        <v>x</v>
      </c>
      <c r="L14" s="15" t="str">
        <f>IFERROR(__xludf.DUMMYFUNCTION("IFERROR(MAX(FILTER(Notas_Finales!$D:$D, Notas_Finales!$A:$A = $B14, VALUE(Notas_Finales!$B:$B) &amp; ""/"" &amp; Notas_Finales!$C:$C = L$1)), ""x"")"),"x")</f>
        <v>x</v>
      </c>
      <c r="M14" s="15" t="str">
        <f>IFERROR(__xludf.DUMMYFUNCTION("IFERROR(MAX(FILTER(Notas_Finales!$D:$D, Notas_Finales!$A:$A = $B14, VALUE(Notas_Finales!$B:$B) &amp; ""/"" &amp; Notas_Finales!$C:$C = M$1)), ""x"")"),"x")</f>
        <v>x</v>
      </c>
      <c r="N14" s="15" t="str">
        <f>IFERROR(__xludf.DUMMYFUNCTION("IFERROR(MAX(FILTER(Notas_Finales!$D:$D, Notas_Finales!$A:$A = $B14, VALUE(Notas_Finales!$B:$B) &amp; ""/"" &amp; Notas_Finales!$C:$C = N$1)), ""x"")"),"x")</f>
        <v>x</v>
      </c>
      <c r="O14" s="15" t="str">
        <f>IFERROR(__xludf.DUMMYFUNCTION("IFERROR(MAX(FILTER(Notas_Finales!$D:$D, Notas_Finales!$A:$A = $B14, VALUE(Notas_Finales!$B:$B) &amp; ""/"" &amp; Notas_Finales!$C:$C = O$1)), ""x"")"),"x")</f>
        <v>x</v>
      </c>
      <c r="P14" s="15" t="str">
        <f>IFERROR(__xludf.DUMMYFUNCTION("IFERROR(MAX(FILTER(Notas_Finales!$D:$D, Notas_Finales!$A:$A = $B14, VALUE(Notas_Finales!$B:$B) &amp; ""/"" &amp; Notas_Finales!$C:$C = P$1)), ""x"")"),"x")</f>
        <v>x</v>
      </c>
      <c r="Q14" s="15" t="str">
        <f>IFERROR(__xludf.DUMMYFUNCTION("IFERROR(MAX(FILTER(Notas_Finales!$D:$D, Notas_Finales!$A:$A = $B14, VALUE(Notas_Finales!$B:$B) &amp; ""/"" &amp; Notas_Finales!$C:$C = Q$1)), ""x"")"),"x")</f>
        <v>x</v>
      </c>
      <c r="R14" s="15" t="str">
        <f>IFERROR(__xludf.DUMMYFUNCTION("IFERROR(MAX(FILTER(Notas_Finales!$D:$D, Notas_Finales!$A:$A = $B14, VALUE(Notas_Finales!$B:$B) &amp; ""/"" &amp; Notas_Finales!$C:$C = R$1)), ""x"")"),"x")</f>
        <v>x</v>
      </c>
      <c r="S14" s="15" t="str">
        <f>IFERROR(__xludf.DUMMYFUNCTION("IFERROR(MAX(FILTER(Notas_Finales!$D:$D, Notas_Finales!$A:$A = $B14, VALUE(Notas_Finales!$B:$B) &amp; ""/"" &amp; Notas_Finales!$C:$C = S$1)), ""x"")"),"x")</f>
        <v>x</v>
      </c>
      <c r="T14" s="15" t="str">
        <f>IFERROR(__xludf.DUMMYFUNCTION("IFERROR(MAX(FILTER(Notas_Finales!$D:$D, Notas_Finales!$A:$A = $B14, VALUE(Notas_Finales!$B:$B) &amp; ""/"" &amp; Notas_Finales!$C:$C = T$1)), ""x"")"),"x")</f>
        <v>x</v>
      </c>
      <c r="U14" s="15" t="str">
        <f>IFERROR(__xludf.DUMMYFUNCTION("IFERROR(MAX(FILTER(Notas_Finales!$D:$D, Notas_Finales!$A:$A = $B14, VALUE(Notas_Finales!$B:$B) &amp; ""/"" &amp; Notas_Finales!$C:$C = U$1)), ""x"")"),"x")</f>
        <v>x</v>
      </c>
      <c r="V14" s="15" t="str">
        <f>IFERROR(__xludf.DUMMYFUNCTION("IFERROR(MAX(FILTER(Notas_Finales!$D:$D, Notas_Finales!$A:$A = $B14, VALUE(Notas_Finales!$B:$B) &amp; ""/"" &amp; Notas_Finales!$C:$C = V$1)), ""x"")"),"x")</f>
        <v>x</v>
      </c>
      <c r="W14" s="15" t="str">
        <f>IFERROR(__xludf.DUMMYFUNCTION("IFERROR(MAX(FILTER(Notas_Finales!$D:$D, Notas_Finales!$A:$A = $B14, VALUE(Notas_Finales!$B:$B) &amp; ""/"" &amp; Notas_Finales!$C:$C = W$1)), ""x"")"),"x")</f>
        <v>x</v>
      </c>
      <c r="X14" s="15" t="str">
        <f>IFERROR(__xludf.DUMMYFUNCTION("IFERROR(MAX(FILTER(Notas_Finales!$D:$D, Notas_Finales!$A:$A = $B14, VALUE(Notas_Finales!$B:$B) &amp; ""/"" &amp; Notas_Finales!$C:$C = X$1)), ""x"")"),"x")</f>
        <v>x</v>
      </c>
      <c r="Y14" s="15" t="str">
        <f>IFERROR(__xludf.DUMMYFUNCTION("IFERROR(MAX(FILTER(Notas_Finales!$D:$D, Notas_Finales!$A:$A = $B14, VALUE(Notas_Finales!$B:$B) &amp; ""/"" &amp; Notas_Finales!$C:$C = Y$1)), ""x"")"),"x")</f>
        <v>x</v>
      </c>
      <c r="Z14" s="15" t="str">
        <f>IFERROR(__xludf.DUMMYFUNCTION("IFERROR(MAX(FILTER(Notas_Finales!$D:$D, Notas_Finales!$A:$A = $B14, VALUE(Notas_Finales!$B:$B) &amp; ""/"" &amp; Notas_Finales!$C:$C = Z$1)), ""x"")"),"x")</f>
        <v>x</v>
      </c>
      <c r="AA14" s="15" t="str">
        <f>IFERROR(__xludf.DUMMYFUNCTION("IFERROR(MAX(FILTER(Notas_Finales!$D:$D, Notas_Finales!$A:$A = $B14, VALUE(Notas_Finales!$B:$B) &amp; ""/"" &amp; Notas_Finales!$C:$C = AA$1)), ""x"")"),"x")</f>
        <v>x</v>
      </c>
    </row>
    <row r="15">
      <c r="A15" s="12">
        <v>14.0</v>
      </c>
      <c r="B15" s="12" t="str">
        <f>IFERROR(__xludf.DUMMYFUNCTION("""COMPUTED_VALUE"""),"MESU SORIANO, Joaquina")</f>
        <v>MESU SORIANO, Joaquina</v>
      </c>
      <c r="C15" s="15">
        <f>IFERROR(__xludf.DUMMYFUNCTION("IFERROR(MAX(FILTER(Notas_Finales!$D:$D, Notas_Finales!$A:$A = $B15, VALUE(Notas_Finales!$B:$B) &amp; ""/"" &amp; Notas_Finales!$C:$C = C$1)), ""x"")"),10.0)</f>
        <v>10</v>
      </c>
      <c r="D15" s="15" t="str">
        <f>IFERROR(__xludf.DUMMYFUNCTION("IFERROR(MAX(FILTER(Notas_Finales!$D:$D, Notas_Finales!$A:$A = $B15, VALUE(Notas_Finales!$B:$B) &amp; ""/"" &amp; Notas_Finales!$C:$C = D$1)), ""x"")"),"x")</f>
        <v>x</v>
      </c>
      <c r="E15" s="15" t="str">
        <f>IFERROR(__xludf.DUMMYFUNCTION("IFERROR(MAX(FILTER(Notas_Finales!$D:$D, Notas_Finales!$A:$A = $B15, VALUE(Notas_Finales!$B:$B) &amp; ""/"" &amp; Notas_Finales!$C:$C = E$1)), ""x"")"),"x")</f>
        <v>x</v>
      </c>
      <c r="F15" s="15" t="str">
        <f>IFERROR(__xludf.DUMMYFUNCTION("IFERROR(MAX(FILTER(Notas_Finales!$D:$D, Notas_Finales!$A:$A = $B15, VALUE(Notas_Finales!$B:$B) &amp; ""/"" &amp; Notas_Finales!$C:$C = F$1)), ""x"")"),"x")</f>
        <v>x</v>
      </c>
      <c r="G15" s="15" t="str">
        <f>IFERROR(__xludf.DUMMYFUNCTION("IFERROR(MAX(FILTER(Notas_Finales!$D:$D, Notas_Finales!$A:$A = $B15, VALUE(Notas_Finales!$B:$B) &amp; ""/"" &amp; Notas_Finales!$C:$C = G$1)), ""x"")"),"x")</f>
        <v>x</v>
      </c>
      <c r="H15" s="15" t="str">
        <f>IFERROR(__xludf.DUMMYFUNCTION("IFERROR(MAX(FILTER(Notas_Finales!$D:$D, Notas_Finales!$A:$A = $B15, VALUE(Notas_Finales!$B:$B) &amp; ""/"" &amp; Notas_Finales!$C:$C = H$1)), ""x"")"),"x")</f>
        <v>x</v>
      </c>
      <c r="I15" s="15" t="str">
        <f>IFERROR(__xludf.DUMMYFUNCTION("IFERROR(MAX(FILTER(Notas_Finales!$D:$D, Notas_Finales!$A:$A = $B15, VALUE(Notas_Finales!$B:$B) &amp; ""/"" &amp; Notas_Finales!$C:$C = I$1)), ""x"")"),"x")</f>
        <v>x</v>
      </c>
      <c r="J15" s="15" t="str">
        <f>IFERROR(__xludf.DUMMYFUNCTION("IFERROR(MAX(FILTER(Notas_Finales!$D:$D, Notas_Finales!$A:$A = $B15, VALUE(Notas_Finales!$B:$B) &amp; ""/"" &amp; Notas_Finales!$C:$C = J$1)), ""x"")"),"x")</f>
        <v>x</v>
      </c>
      <c r="K15" s="15" t="str">
        <f>IFERROR(__xludf.DUMMYFUNCTION("IFERROR(MAX(FILTER(Notas_Finales!$D:$D, Notas_Finales!$A:$A = $B15, VALUE(Notas_Finales!$B:$B) &amp; ""/"" &amp; Notas_Finales!$C:$C = K$1)), ""x"")"),"x")</f>
        <v>x</v>
      </c>
      <c r="L15" s="15" t="str">
        <f>IFERROR(__xludf.DUMMYFUNCTION("IFERROR(MAX(FILTER(Notas_Finales!$D:$D, Notas_Finales!$A:$A = $B15, VALUE(Notas_Finales!$B:$B) &amp; ""/"" &amp; Notas_Finales!$C:$C = L$1)), ""x"")"),"x")</f>
        <v>x</v>
      </c>
      <c r="M15" s="15" t="str">
        <f>IFERROR(__xludf.DUMMYFUNCTION("IFERROR(MAX(FILTER(Notas_Finales!$D:$D, Notas_Finales!$A:$A = $B15, VALUE(Notas_Finales!$B:$B) &amp; ""/"" &amp; Notas_Finales!$C:$C = M$1)), ""x"")"),"x")</f>
        <v>x</v>
      </c>
      <c r="N15" s="15" t="str">
        <f>IFERROR(__xludf.DUMMYFUNCTION("IFERROR(MAX(FILTER(Notas_Finales!$D:$D, Notas_Finales!$A:$A = $B15, VALUE(Notas_Finales!$B:$B) &amp; ""/"" &amp; Notas_Finales!$C:$C = N$1)), ""x"")"),"x")</f>
        <v>x</v>
      </c>
      <c r="O15" s="15" t="str">
        <f>IFERROR(__xludf.DUMMYFUNCTION("IFERROR(MAX(FILTER(Notas_Finales!$D:$D, Notas_Finales!$A:$A = $B15, VALUE(Notas_Finales!$B:$B) &amp; ""/"" &amp; Notas_Finales!$C:$C = O$1)), ""x"")"),"x")</f>
        <v>x</v>
      </c>
      <c r="P15" s="15" t="str">
        <f>IFERROR(__xludf.DUMMYFUNCTION("IFERROR(MAX(FILTER(Notas_Finales!$D:$D, Notas_Finales!$A:$A = $B15, VALUE(Notas_Finales!$B:$B) &amp; ""/"" &amp; Notas_Finales!$C:$C = P$1)), ""x"")"),"x")</f>
        <v>x</v>
      </c>
      <c r="Q15" s="15" t="str">
        <f>IFERROR(__xludf.DUMMYFUNCTION("IFERROR(MAX(FILTER(Notas_Finales!$D:$D, Notas_Finales!$A:$A = $B15, VALUE(Notas_Finales!$B:$B) &amp; ""/"" &amp; Notas_Finales!$C:$C = Q$1)), ""x"")"),"x")</f>
        <v>x</v>
      </c>
      <c r="R15" s="15" t="str">
        <f>IFERROR(__xludf.DUMMYFUNCTION("IFERROR(MAX(FILTER(Notas_Finales!$D:$D, Notas_Finales!$A:$A = $B15, VALUE(Notas_Finales!$B:$B) &amp; ""/"" &amp; Notas_Finales!$C:$C = R$1)), ""x"")"),"x")</f>
        <v>x</v>
      </c>
      <c r="S15" s="15" t="str">
        <f>IFERROR(__xludf.DUMMYFUNCTION("IFERROR(MAX(FILTER(Notas_Finales!$D:$D, Notas_Finales!$A:$A = $B15, VALUE(Notas_Finales!$B:$B) &amp; ""/"" &amp; Notas_Finales!$C:$C = S$1)), ""x"")"),"x")</f>
        <v>x</v>
      </c>
      <c r="T15" s="15" t="str">
        <f>IFERROR(__xludf.DUMMYFUNCTION("IFERROR(MAX(FILTER(Notas_Finales!$D:$D, Notas_Finales!$A:$A = $B15, VALUE(Notas_Finales!$B:$B) &amp; ""/"" &amp; Notas_Finales!$C:$C = T$1)), ""x"")"),"x")</f>
        <v>x</v>
      </c>
      <c r="U15" s="15" t="str">
        <f>IFERROR(__xludf.DUMMYFUNCTION("IFERROR(MAX(FILTER(Notas_Finales!$D:$D, Notas_Finales!$A:$A = $B15, VALUE(Notas_Finales!$B:$B) &amp; ""/"" &amp; Notas_Finales!$C:$C = U$1)), ""x"")"),"x")</f>
        <v>x</v>
      </c>
      <c r="V15" s="15" t="str">
        <f>IFERROR(__xludf.DUMMYFUNCTION("IFERROR(MAX(FILTER(Notas_Finales!$D:$D, Notas_Finales!$A:$A = $B15, VALUE(Notas_Finales!$B:$B) &amp; ""/"" &amp; Notas_Finales!$C:$C = V$1)), ""x"")"),"x")</f>
        <v>x</v>
      </c>
      <c r="W15" s="15" t="str">
        <f>IFERROR(__xludf.DUMMYFUNCTION("IFERROR(MAX(FILTER(Notas_Finales!$D:$D, Notas_Finales!$A:$A = $B15, VALUE(Notas_Finales!$B:$B) &amp; ""/"" &amp; Notas_Finales!$C:$C = W$1)), ""x"")"),"x")</f>
        <v>x</v>
      </c>
      <c r="X15" s="15" t="str">
        <f>IFERROR(__xludf.DUMMYFUNCTION("IFERROR(MAX(FILTER(Notas_Finales!$D:$D, Notas_Finales!$A:$A = $B15, VALUE(Notas_Finales!$B:$B) &amp; ""/"" &amp; Notas_Finales!$C:$C = X$1)), ""x"")"),"x")</f>
        <v>x</v>
      </c>
      <c r="Y15" s="15" t="str">
        <f>IFERROR(__xludf.DUMMYFUNCTION("IFERROR(MAX(FILTER(Notas_Finales!$D:$D, Notas_Finales!$A:$A = $B15, VALUE(Notas_Finales!$B:$B) &amp; ""/"" &amp; Notas_Finales!$C:$C = Y$1)), ""x"")"),"x")</f>
        <v>x</v>
      </c>
      <c r="Z15" s="15" t="str">
        <f>IFERROR(__xludf.DUMMYFUNCTION("IFERROR(MAX(FILTER(Notas_Finales!$D:$D, Notas_Finales!$A:$A = $B15, VALUE(Notas_Finales!$B:$B) &amp; ""/"" &amp; Notas_Finales!$C:$C = Z$1)), ""x"")"),"x")</f>
        <v>x</v>
      </c>
      <c r="AA15" s="15" t="str">
        <f>IFERROR(__xludf.DUMMYFUNCTION("IFERROR(MAX(FILTER(Notas_Finales!$D:$D, Notas_Finales!$A:$A = $B15, VALUE(Notas_Finales!$B:$B) &amp; ""/"" &amp; Notas_Finales!$C:$C = AA$1)), ""x"")"),"x")</f>
        <v>x</v>
      </c>
    </row>
    <row r="16">
      <c r="A16" s="12">
        <v>15.0</v>
      </c>
      <c r="B16" s="12" t="str">
        <f>IFERROR(__xludf.DUMMYFUNCTION("""COMPUTED_VALUE"""),"MORENO, Santiago Benjamín")</f>
        <v>MORENO, Santiago Benjamín</v>
      </c>
      <c r="C16" s="15">
        <f>IFERROR(__xludf.DUMMYFUNCTION("IFERROR(MAX(FILTER(Notas_Finales!$D:$D, Notas_Finales!$A:$A = $B16, VALUE(Notas_Finales!$B:$B) &amp; ""/"" &amp; Notas_Finales!$C:$C = C$1)), ""x"")"),10.0)</f>
        <v>10</v>
      </c>
      <c r="D16" s="15" t="str">
        <f>IFERROR(__xludf.DUMMYFUNCTION("IFERROR(MAX(FILTER(Notas_Finales!$D:$D, Notas_Finales!$A:$A = $B16, VALUE(Notas_Finales!$B:$B) &amp; ""/"" &amp; Notas_Finales!$C:$C = D$1)), ""x"")"),"x")</f>
        <v>x</v>
      </c>
      <c r="E16" s="15" t="str">
        <f>IFERROR(__xludf.DUMMYFUNCTION("IFERROR(MAX(FILTER(Notas_Finales!$D:$D, Notas_Finales!$A:$A = $B16, VALUE(Notas_Finales!$B:$B) &amp; ""/"" &amp; Notas_Finales!$C:$C = E$1)), ""x"")"),"x")</f>
        <v>x</v>
      </c>
      <c r="F16" s="15" t="str">
        <f>IFERROR(__xludf.DUMMYFUNCTION("IFERROR(MAX(FILTER(Notas_Finales!$D:$D, Notas_Finales!$A:$A = $B16, VALUE(Notas_Finales!$B:$B) &amp; ""/"" &amp; Notas_Finales!$C:$C = F$1)), ""x"")"),"x")</f>
        <v>x</v>
      </c>
      <c r="G16" s="15" t="str">
        <f>IFERROR(__xludf.DUMMYFUNCTION("IFERROR(MAX(FILTER(Notas_Finales!$D:$D, Notas_Finales!$A:$A = $B16, VALUE(Notas_Finales!$B:$B) &amp; ""/"" &amp; Notas_Finales!$C:$C = G$1)), ""x"")"),"x")</f>
        <v>x</v>
      </c>
      <c r="H16" s="15" t="str">
        <f>IFERROR(__xludf.DUMMYFUNCTION("IFERROR(MAX(FILTER(Notas_Finales!$D:$D, Notas_Finales!$A:$A = $B16, VALUE(Notas_Finales!$B:$B) &amp; ""/"" &amp; Notas_Finales!$C:$C = H$1)), ""x"")"),"x")</f>
        <v>x</v>
      </c>
      <c r="I16" s="15" t="str">
        <f>IFERROR(__xludf.DUMMYFUNCTION("IFERROR(MAX(FILTER(Notas_Finales!$D:$D, Notas_Finales!$A:$A = $B16, VALUE(Notas_Finales!$B:$B) &amp; ""/"" &amp; Notas_Finales!$C:$C = I$1)), ""x"")"),"x")</f>
        <v>x</v>
      </c>
      <c r="J16" s="15" t="str">
        <f>IFERROR(__xludf.DUMMYFUNCTION("IFERROR(MAX(FILTER(Notas_Finales!$D:$D, Notas_Finales!$A:$A = $B16, VALUE(Notas_Finales!$B:$B) &amp; ""/"" &amp; Notas_Finales!$C:$C = J$1)), ""x"")"),"x")</f>
        <v>x</v>
      </c>
      <c r="K16" s="15" t="str">
        <f>IFERROR(__xludf.DUMMYFUNCTION("IFERROR(MAX(FILTER(Notas_Finales!$D:$D, Notas_Finales!$A:$A = $B16, VALUE(Notas_Finales!$B:$B) &amp; ""/"" &amp; Notas_Finales!$C:$C = K$1)), ""x"")"),"x")</f>
        <v>x</v>
      </c>
      <c r="L16" s="15">
        <f>IFERROR(__xludf.DUMMYFUNCTION("IFERROR(MAX(FILTER(Notas_Finales!$D:$D, Notas_Finales!$A:$A = $B16, VALUE(Notas_Finales!$B:$B) &amp; ""/"" &amp; Notas_Finales!$C:$C = L$1)), ""x"")"),1.0)</f>
        <v>1</v>
      </c>
      <c r="M16" s="15" t="str">
        <f>IFERROR(__xludf.DUMMYFUNCTION("IFERROR(MAX(FILTER(Notas_Finales!$D:$D, Notas_Finales!$A:$A = $B16, VALUE(Notas_Finales!$B:$B) &amp; ""/"" &amp; Notas_Finales!$C:$C = M$1)), ""x"")"),"x")</f>
        <v>x</v>
      </c>
      <c r="N16" s="15" t="str">
        <f>IFERROR(__xludf.DUMMYFUNCTION("IFERROR(MAX(FILTER(Notas_Finales!$D:$D, Notas_Finales!$A:$A = $B16, VALUE(Notas_Finales!$B:$B) &amp; ""/"" &amp; Notas_Finales!$C:$C = N$1)), ""x"")"),"x")</f>
        <v>x</v>
      </c>
      <c r="O16" s="15" t="str">
        <f>IFERROR(__xludf.DUMMYFUNCTION("IFERROR(MAX(FILTER(Notas_Finales!$D:$D, Notas_Finales!$A:$A = $B16, VALUE(Notas_Finales!$B:$B) &amp; ""/"" &amp; Notas_Finales!$C:$C = O$1)), ""x"")"),"x")</f>
        <v>x</v>
      </c>
      <c r="P16" s="15" t="str">
        <f>IFERROR(__xludf.DUMMYFUNCTION("IFERROR(MAX(FILTER(Notas_Finales!$D:$D, Notas_Finales!$A:$A = $B16, VALUE(Notas_Finales!$B:$B) &amp; ""/"" &amp; Notas_Finales!$C:$C = P$1)), ""x"")"),"x")</f>
        <v>x</v>
      </c>
      <c r="Q16" s="15" t="str">
        <f>IFERROR(__xludf.DUMMYFUNCTION("IFERROR(MAX(FILTER(Notas_Finales!$D:$D, Notas_Finales!$A:$A = $B16, VALUE(Notas_Finales!$B:$B) &amp; ""/"" &amp; Notas_Finales!$C:$C = Q$1)), ""x"")"),"x")</f>
        <v>x</v>
      </c>
      <c r="R16" s="15" t="str">
        <f>IFERROR(__xludf.DUMMYFUNCTION("IFERROR(MAX(FILTER(Notas_Finales!$D:$D, Notas_Finales!$A:$A = $B16, VALUE(Notas_Finales!$B:$B) &amp; ""/"" &amp; Notas_Finales!$C:$C = R$1)), ""x"")"),"x")</f>
        <v>x</v>
      </c>
      <c r="S16" s="15" t="str">
        <f>IFERROR(__xludf.DUMMYFUNCTION("IFERROR(MAX(FILTER(Notas_Finales!$D:$D, Notas_Finales!$A:$A = $B16, VALUE(Notas_Finales!$B:$B) &amp; ""/"" &amp; Notas_Finales!$C:$C = S$1)), ""x"")"),"x")</f>
        <v>x</v>
      </c>
      <c r="T16" s="15" t="str">
        <f>IFERROR(__xludf.DUMMYFUNCTION("IFERROR(MAX(FILTER(Notas_Finales!$D:$D, Notas_Finales!$A:$A = $B16, VALUE(Notas_Finales!$B:$B) &amp; ""/"" &amp; Notas_Finales!$C:$C = T$1)), ""x"")"),"x")</f>
        <v>x</v>
      </c>
      <c r="U16" s="15" t="str">
        <f>IFERROR(__xludf.DUMMYFUNCTION("IFERROR(MAX(FILTER(Notas_Finales!$D:$D, Notas_Finales!$A:$A = $B16, VALUE(Notas_Finales!$B:$B) &amp; ""/"" &amp; Notas_Finales!$C:$C = U$1)), ""x"")"),"x")</f>
        <v>x</v>
      </c>
      <c r="V16" s="15" t="str">
        <f>IFERROR(__xludf.DUMMYFUNCTION("IFERROR(MAX(FILTER(Notas_Finales!$D:$D, Notas_Finales!$A:$A = $B16, VALUE(Notas_Finales!$B:$B) &amp; ""/"" &amp; Notas_Finales!$C:$C = V$1)), ""x"")"),"x")</f>
        <v>x</v>
      </c>
      <c r="W16" s="15" t="str">
        <f>IFERROR(__xludf.DUMMYFUNCTION("IFERROR(MAX(FILTER(Notas_Finales!$D:$D, Notas_Finales!$A:$A = $B16, VALUE(Notas_Finales!$B:$B) &amp; ""/"" &amp; Notas_Finales!$C:$C = W$1)), ""x"")"),"x")</f>
        <v>x</v>
      </c>
      <c r="X16" s="15" t="str">
        <f>IFERROR(__xludf.DUMMYFUNCTION("IFERROR(MAX(FILTER(Notas_Finales!$D:$D, Notas_Finales!$A:$A = $B16, VALUE(Notas_Finales!$B:$B) &amp; ""/"" &amp; Notas_Finales!$C:$C = X$1)), ""x"")"),"x")</f>
        <v>x</v>
      </c>
      <c r="Y16" s="15" t="str">
        <f>IFERROR(__xludf.DUMMYFUNCTION("IFERROR(MAX(FILTER(Notas_Finales!$D:$D, Notas_Finales!$A:$A = $B16, VALUE(Notas_Finales!$B:$B) &amp; ""/"" &amp; Notas_Finales!$C:$C = Y$1)), ""x"")"),"x")</f>
        <v>x</v>
      </c>
      <c r="Z16" s="15" t="str">
        <f>IFERROR(__xludf.DUMMYFUNCTION("IFERROR(MAX(FILTER(Notas_Finales!$D:$D, Notas_Finales!$A:$A = $B16, VALUE(Notas_Finales!$B:$B) &amp; ""/"" &amp; Notas_Finales!$C:$C = Z$1)), ""x"")"),"x")</f>
        <v>x</v>
      </c>
      <c r="AA16" s="15" t="str">
        <f>IFERROR(__xludf.DUMMYFUNCTION("IFERROR(MAX(FILTER(Notas_Finales!$D:$D, Notas_Finales!$A:$A = $B16, VALUE(Notas_Finales!$B:$B) &amp; ""/"" &amp; Notas_Finales!$C:$C = AA$1)), ""x"")"),"x")</f>
        <v>x</v>
      </c>
    </row>
    <row r="17">
      <c r="A17" s="12">
        <v>16.0</v>
      </c>
      <c r="B17" s="12" t="str">
        <f>IFERROR(__xludf.DUMMYFUNCTION("""COMPUTED_VALUE"""),"PARODI RAINIERI, Carolina")</f>
        <v>PARODI RAINIERI, Carolina</v>
      </c>
      <c r="C17" s="15">
        <f>IFERROR(__xludf.DUMMYFUNCTION("IFERROR(MAX(FILTER(Notas_Finales!$D:$D, Notas_Finales!$A:$A = $B17, VALUE(Notas_Finales!$B:$B) &amp; ""/"" &amp; Notas_Finales!$C:$C = C$1)), ""x"")"),10.0)</f>
        <v>10</v>
      </c>
      <c r="D17" s="15" t="str">
        <f>IFERROR(__xludf.DUMMYFUNCTION("IFERROR(MAX(FILTER(Notas_Finales!$D:$D, Notas_Finales!$A:$A = $B17, VALUE(Notas_Finales!$B:$B) &amp; ""/"" &amp; Notas_Finales!$C:$C = D$1)), ""x"")"),"x")</f>
        <v>x</v>
      </c>
      <c r="E17" s="15" t="str">
        <f>IFERROR(__xludf.DUMMYFUNCTION("IFERROR(MAX(FILTER(Notas_Finales!$D:$D, Notas_Finales!$A:$A = $B17, VALUE(Notas_Finales!$B:$B) &amp; ""/"" &amp; Notas_Finales!$C:$C = E$1)), ""x"")"),"x")</f>
        <v>x</v>
      </c>
      <c r="F17" s="15" t="str">
        <f>IFERROR(__xludf.DUMMYFUNCTION("IFERROR(MAX(FILTER(Notas_Finales!$D:$D, Notas_Finales!$A:$A = $B17, VALUE(Notas_Finales!$B:$B) &amp; ""/"" &amp; Notas_Finales!$C:$C = F$1)), ""x"")"),"x")</f>
        <v>x</v>
      </c>
      <c r="G17" s="15" t="str">
        <f>IFERROR(__xludf.DUMMYFUNCTION("IFERROR(MAX(FILTER(Notas_Finales!$D:$D, Notas_Finales!$A:$A = $B17, VALUE(Notas_Finales!$B:$B) &amp; ""/"" &amp; Notas_Finales!$C:$C = G$1)), ""x"")"),"x")</f>
        <v>x</v>
      </c>
      <c r="H17" s="15" t="str">
        <f>IFERROR(__xludf.DUMMYFUNCTION("IFERROR(MAX(FILTER(Notas_Finales!$D:$D, Notas_Finales!$A:$A = $B17, VALUE(Notas_Finales!$B:$B) &amp; ""/"" &amp; Notas_Finales!$C:$C = H$1)), ""x"")"),"x")</f>
        <v>x</v>
      </c>
      <c r="I17" s="15" t="str">
        <f>IFERROR(__xludf.DUMMYFUNCTION("IFERROR(MAX(FILTER(Notas_Finales!$D:$D, Notas_Finales!$A:$A = $B17, VALUE(Notas_Finales!$B:$B) &amp; ""/"" &amp; Notas_Finales!$C:$C = I$1)), ""x"")"),"x")</f>
        <v>x</v>
      </c>
      <c r="J17" s="15" t="str">
        <f>IFERROR(__xludf.DUMMYFUNCTION("IFERROR(MAX(FILTER(Notas_Finales!$D:$D, Notas_Finales!$A:$A = $B17, VALUE(Notas_Finales!$B:$B) &amp; ""/"" &amp; Notas_Finales!$C:$C = J$1)), ""x"")"),"x")</f>
        <v>x</v>
      </c>
      <c r="K17" s="15" t="str">
        <f>IFERROR(__xludf.DUMMYFUNCTION("IFERROR(MAX(FILTER(Notas_Finales!$D:$D, Notas_Finales!$A:$A = $B17, VALUE(Notas_Finales!$B:$B) &amp; ""/"" &amp; Notas_Finales!$C:$C = K$1)), ""x"")"),"x")</f>
        <v>x</v>
      </c>
      <c r="L17" s="15" t="str">
        <f>IFERROR(__xludf.DUMMYFUNCTION("IFERROR(MAX(FILTER(Notas_Finales!$D:$D, Notas_Finales!$A:$A = $B17, VALUE(Notas_Finales!$B:$B) &amp; ""/"" &amp; Notas_Finales!$C:$C = L$1)), ""x"")"),"x")</f>
        <v>x</v>
      </c>
      <c r="M17" s="15" t="str">
        <f>IFERROR(__xludf.DUMMYFUNCTION("IFERROR(MAX(FILTER(Notas_Finales!$D:$D, Notas_Finales!$A:$A = $B17, VALUE(Notas_Finales!$B:$B) &amp; ""/"" &amp; Notas_Finales!$C:$C = M$1)), ""x"")"),"x")</f>
        <v>x</v>
      </c>
      <c r="N17" s="15" t="str">
        <f>IFERROR(__xludf.DUMMYFUNCTION("IFERROR(MAX(FILTER(Notas_Finales!$D:$D, Notas_Finales!$A:$A = $B17, VALUE(Notas_Finales!$B:$B) &amp; ""/"" &amp; Notas_Finales!$C:$C = N$1)), ""x"")"),"x")</f>
        <v>x</v>
      </c>
      <c r="O17" s="15" t="str">
        <f>IFERROR(__xludf.DUMMYFUNCTION("IFERROR(MAX(FILTER(Notas_Finales!$D:$D, Notas_Finales!$A:$A = $B17, VALUE(Notas_Finales!$B:$B) &amp; ""/"" &amp; Notas_Finales!$C:$C = O$1)), ""x"")"),"x")</f>
        <v>x</v>
      </c>
      <c r="P17" s="15" t="str">
        <f>IFERROR(__xludf.DUMMYFUNCTION("IFERROR(MAX(FILTER(Notas_Finales!$D:$D, Notas_Finales!$A:$A = $B17, VALUE(Notas_Finales!$B:$B) &amp; ""/"" &amp; Notas_Finales!$C:$C = P$1)), ""x"")"),"x")</f>
        <v>x</v>
      </c>
      <c r="Q17" s="15" t="str">
        <f>IFERROR(__xludf.DUMMYFUNCTION("IFERROR(MAX(FILTER(Notas_Finales!$D:$D, Notas_Finales!$A:$A = $B17, VALUE(Notas_Finales!$B:$B) &amp; ""/"" &amp; Notas_Finales!$C:$C = Q$1)), ""x"")"),"x")</f>
        <v>x</v>
      </c>
      <c r="R17" s="15" t="str">
        <f>IFERROR(__xludf.DUMMYFUNCTION("IFERROR(MAX(FILTER(Notas_Finales!$D:$D, Notas_Finales!$A:$A = $B17, VALUE(Notas_Finales!$B:$B) &amp; ""/"" &amp; Notas_Finales!$C:$C = R$1)), ""x"")"),"x")</f>
        <v>x</v>
      </c>
      <c r="S17" s="15" t="str">
        <f>IFERROR(__xludf.DUMMYFUNCTION("IFERROR(MAX(FILTER(Notas_Finales!$D:$D, Notas_Finales!$A:$A = $B17, VALUE(Notas_Finales!$B:$B) &amp; ""/"" &amp; Notas_Finales!$C:$C = S$1)), ""x"")"),"x")</f>
        <v>x</v>
      </c>
      <c r="T17" s="15" t="str">
        <f>IFERROR(__xludf.DUMMYFUNCTION("IFERROR(MAX(FILTER(Notas_Finales!$D:$D, Notas_Finales!$A:$A = $B17, VALUE(Notas_Finales!$B:$B) &amp; ""/"" &amp; Notas_Finales!$C:$C = T$1)), ""x"")"),"x")</f>
        <v>x</v>
      </c>
      <c r="U17" s="15" t="str">
        <f>IFERROR(__xludf.DUMMYFUNCTION("IFERROR(MAX(FILTER(Notas_Finales!$D:$D, Notas_Finales!$A:$A = $B17, VALUE(Notas_Finales!$B:$B) &amp; ""/"" &amp; Notas_Finales!$C:$C = U$1)), ""x"")"),"x")</f>
        <v>x</v>
      </c>
      <c r="V17" s="15" t="str">
        <f>IFERROR(__xludf.DUMMYFUNCTION("IFERROR(MAX(FILTER(Notas_Finales!$D:$D, Notas_Finales!$A:$A = $B17, VALUE(Notas_Finales!$B:$B) &amp; ""/"" &amp; Notas_Finales!$C:$C = V$1)), ""x"")"),"x")</f>
        <v>x</v>
      </c>
      <c r="W17" s="15" t="str">
        <f>IFERROR(__xludf.DUMMYFUNCTION("IFERROR(MAX(FILTER(Notas_Finales!$D:$D, Notas_Finales!$A:$A = $B17, VALUE(Notas_Finales!$B:$B) &amp; ""/"" &amp; Notas_Finales!$C:$C = W$1)), ""x"")"),"x")</f>
        <v>x</v>
      </c>
      <c r="X17" s="15" t="str">
        <f>IFERROR(__xludf.DUMMYFUNCTION("IFERROR(MAX(FILTER(Notas_Finales!$D:$D, Notas_Finales!$A:$A = $B17, VALUE(Notas_Finales!$B:$B) &amp; ""/"" &amp; Notas_Finales!$C:$C = X$1)), ""x"")"),"x")</f>
        <v>x</v>
      </c>
      <c r="Y17" s="15" t="str">
        <f>IFERROR(__xludf.DUMMYFUNCTION("IFERROR(MAX(FILTER(Notas_Finales!$D:$D, Notas_Finales!$A:$A = $B17, VALUE(Notas_Finales!$B:$B) &amp; ""/"" &amp; Notas_Finales!$C:$C = Y$1)), ""x"")"),"x")</f>
        <v>x</v>
      </c>
      <c r="Z17" s="15" t="str">
        <f>IFERROR(__xludf.DUMMYFUNCTION("IFERROR(MAX(FILTER(Notas_Finales!$D:$D, Notas_Finales!$A:$A = $B17, VALUE(Notas_Finales!$B:$B) &amp; ""/"" &amp; Notas_Finales!$C:$C = Z$1)), ""x"")"),"x")</f>
        <v>x</v>
      </c>
      <c r="AA17" s="15" t="str">
        <f>IFERROR(__xludf.DUMMYFUNCTION("IFERROR(MAX(FILTER(Notas_Finales!$D:$D, Notas_Finales!$A:$A = $B17, VALUE(Notas_Finales!$B:$B) &amp; ""/"" &amp; Notas_Finales!$C:$C = AA$1)), ""x"")"),"x")</f>
        <v>x</v>
      </c>
    </row>
    <row r="18">
      <c r="A18" s="12">
        <v>17.0</v>
      </c>
      <c r="B18" s="12" t="str">
        <f>IFERROR(__xludf.DUMMYFUNCTION("""COMPUTED_VALUE"""),"PINTO FRANKE, Tomás Ezequiel")</f>
        <v>PINTO FRANKE, Tomás Ezequiel</v>
      </c>
      <c r="C18" s="15">
        <f>IFERROR(__xludf.DUMMYFUNCTION("IFERROR(MAX(FILTER(Notas_Finales!$D:$D, Notas_Finales!$A:$A = $B18, VALUE(Notas_Finales!$B:$B) &amp; ""/"" &amp; Notas_Finales!$C:$C = C$1)), ""x"")"),3.0)</f>
        <v>3</v>
      </c>
      <c r="D18" s="15" t="str">
        <f>IFERROR(__xludf.DUMMYFUNCTION("IFERROR(MAX(FILTER(Notas_Finales!$D:$D, Notas_Finales!$A:$A = $B18, VALUE(Notas_Finales!$B:$B) &amp; ""/"" &amp; Notas_Finales!$C:$C = D$1)), ""x"")"),"x")</f>
        <v>x</v>
      </c>
      <c r="E18" s="15" t="str">
        <f>IFERROR(__xludf.DUMMYFUNCTION("IFERROR(MAX(FILTER(Notas_Finales!$D:$D, Notas_Finales!$A:$A = $B18, VALUE(Notas_Finales!$B:$B) &amp; ""/"" &amp; Notas_Finales!$C:$C = E$1)), ""x"")"),"x")</f>
        <v>x</v>
      </c>
      <c r="F18" s="15" t="str">
        <f>IFERROR(__xludf.DUMMYFUNCTION("IFERROR(MAX(FILTER(Notas_Finales!$D:$D, Notas_Finales!$A:$A = $B18, VALUE(Notas_Finales!$B:$B) &amp; ""/"" &amp; Notas_Finales!$C:$C = F$1)), ""x"")"),"x")</f>
        <v>x</v>
      </c>
      <c r="G18" s="15" t="str">
        <f>IFERROR(__xludf.DUMMYFUNCTION("IFERROR(MAX(FILTER(Notas_Finales!$D:$D, Notas_Finales!$A:$A = $B18, VALUE(Notas_Finales!$B:$B) &amp; ""/"" &amp; Notas_Finales!$C:$C = G$1)), ""x"")"),"x")</f>
        <v>x</v>
      </c>
      <c r="H18" s="15" t="str">
        <f>IFERROR(__xludf.DUMMYFUNCTION("IFERROR(MAX(FILTER(Notas_Finales!$D:$D, Notas_Finales!$A:$A = $B18, VALUE(Notas_Finales!$B:$B) &amp; ""/"" &amp; Notas_Finales!$C:$C = H$1)), ""x"")"),"x")</f>
        <v>x</v>
      </c>
      <c r="I18" s="15" t="str">
        <f>IFERROR(__xludf.DUMMYFUNCTION("IFERROR(MAX(FILTER(Notas_Finales!$D:$D, Notas_Finales!$A:$A = $B18, VALUE(Notas_Finales!$B:$B) &amp; ""/"" &amp; Notas_Finales!$C:$C = I$1)), ""x"")"),"x")</f>
        <v>x</v>
      </c>
      <c r="J18" s="15" t="str">
        <f>IFERROR(__xludf.DUMMYFUNCTION("IFERROR(MAX(FILTER(Notas_Finales!$D:$D, Notas_Finales!$A:$A = $B18, VALUE(Notas_Finales!$B:$B) &amp; ""/"" &amp; Notas_Finales!$C:$C = J$1)), ""x"")"),"x")</f>
        <v>x</v>
      </c>
      <c r="K18" s="15" t="str">
        <f>IFERROR(__xludf.DUMMYFUNCTION("IFERROR(MAX(FILTER(Notas_Finales!$D:$D, Notas_Finales!$A:$A = $B18, VALUE(Notas_Finales!$B:$B) &amp; ""/"" &amp; Notas_Finales!$C:$C = K$1)), ""x"")"),"x")</f>
        <v>x</v>
      </c>
      <c r="L18" s="15" t="str">
        <f>IFERROR(__xludf.DUMMYFUNCTION("IFERROR(MAX(FILTER(Notas_Finales!$D:$D, Notas_Finales!$A:$A = $B18, VALUE(Notas_Finales!$B:$B) &amp; ""/"" &amp; Notas_Finales!$C:$C = L$1)), ""x"")"),"x")</f>
        <v>x</v>
      </c>
      <c r="M18" s="15" t="str">
        <f>IFERROR(__xludf.DUMMYFUNCTION("IFERROR(MAX(FILTER(Notas_Finales!$D:$D, Notas_Finales!$A:$A = $B18, VALUE(Notas_Finales!$B:$B) &amp; ""/"" &amp; Notas_Finales!$C:$C = M$1)), ""x"")"),"x")</f>
        <v>x</v>
      </c>
      <c r="N18" s="15" t="str">
        <f>IFERROR(__xludf.DUMMYFUNCTION("IFERROR(MAX(FILTER(Notas_Finales!$D:$D, Notas_Finales!$A:$A = $B18, VALUE(Notas_Finales!$B:$B) &amp; ""/"" &amp; Notas_Finales!$C:$C = N$1)), ""x"")"),"x")</f>
        <v>x</v>
      </c>
      <c r="O18" s="15" t="str">
        <f>IFERROR(__xludf.DUMMYFUNCTION("IFERROR(MAX(FILTER(Notas_Finales!$D:$D, Notas_Finales!$A:$A = $B18, VALUE(Notas_Finales!$B:$B) &amp; ""/"" &amp; Notas_Finales!$C:$C = O$1)), ""x"")"),"x")</f>
        <v>x</v>
      </c>
      <c r="P18" s="15" t="str">
        <f>IFERROR(__xludf.DUMMYFUNCTION("IFERROR(MAX(FILTER(Notas_Finales!$D:$D, Notas_Finales!$A:$A = $B18, VALUE(Notas_Finales!$B:$B) &amp; ""/"" &amp; Notas_Finales!$C:$C = P$1)), ""x"")"),"x")</f>
        <v>x</v>
      </c>
      <c r="Q18" s="15" t="str">
        <f>IFERROR(__xludf.DUMMYFUNCTION("IFERROR(MAX(FILTER(Notas_Finales!$D:$D, Notas_Finales!$A:$A = $B18, VALUE(Notas_Finales!$B:$B) &amp; ""/"" &amp; Notas_Finales!$C:$C = Q$1)), ""x"")"),"x")</f>
        <v>x</v>
      </c>
      <c r="R18" s="15" t="str">
        <f>IFERROR(__xludf.DUMMYFUNCTION("IFERROR(MAX(FILTER(Notas_Finales!$D:$D, Notas_Finales!$A:$A = $B18, VALUE(Notas_Finales!$B:$B) &amp; ""/"" &amp; Notas_Finales!$C:$C = R$1)), ""x"")"),"x")</f>
        <v>x</v>
      </c>
      <c r="S18" s="15" t="str">
        <f>IFERROR(__xludf.DUMMYFUNCTION("IFERROR(MAX(FILTER(Notas_Finales!$D:$D, Notas_Finales!$A:$A = $B18, VALUE(Notas_Finales!$B:$B) &amp; ""/"" &amp; Notas_Finales!$C:$C = S$1)), ""x"")"),"x")</f>
        <v>x</v>
      </c>
      <c r="T18" s="15" t="str">
        <f>IFERROR(__xludf.DUMMYFUNCTION("IFERROR(MAX(FILTER(Notas_Finales!$D:$D, Notas_Finales!$A:$A = $B18, VALUE(Notas_Finales!$B:$B) &amp; ""/"" &amp; Notas_Finales!$C:$C = T$1)), ""x"")"),"x")</f>
        <v>x</v>
      </c>
      <c r="U18" s="15" t="str">
        <f>IFERROR(__xludf.DUMMYFUNCTION("IFERROR(MAX(FILTER(Notas_Finales!$D:$D, Notas_Finales!$A:$A = $B18, VALUE(Notas_Finales!$B:$B) &amp; ""/"" &amp; Notas_Finales!$C:$C = U$1)), ""x"")"),"x")</f>
        <v>x</v>
      </c>
      <c r="V18" s="15" t="str">
        <f>IFERROR(__xludf.DUMMYFUNCTION("IFERROR(MAX(FILTER(Notas_Finales!$D:$D, Notas_Finales!$A:$A = $B18, VALUE(Notas_Finales!$B:$B) &amp; ""/"" &amp; Notas_Finales!$C:$C = V$1)), ""x"")"),"x")</f>
        <v>x</v>
      </c>
      <c r="W18" s="15" t="str">
        <f>IFERROR(__xludf.DUMMYFUNCTION("IFERROR(MAX(FILTER(Notas_Finales!$D:$D, Notas_Finales!$A:$A = $B18, VALUE(Notas_Finales!$B:$B) &amp; ""/"" &amp; Notas_Finales!$C:$C = W$1)), ""x"")"),"x")</f>
        <v>x</v>
      </c>
      <c r="X18" s="15" t="str">
        <f>IFERROR(__xludf.DUMMYFUNCTION("IFERROR(MAX(FILTER(Notas_Finales!$D:$D, Notas_Finales!$A:$A = $B18, VALUE(Notas_Finales!$B:$B) &amp; ""/"" &amp; Notas_Finales!$C:$C = X$1)), ""x"")"),"x")</f>
        <v>x</v>
      </c>
      <c r="Y18" s="15" t="str">
        <f>IFERROR(__xludf.DUMMYFUNCTION("IFERROR(MAX(FILTER(Notas_Finales!$D:$D, Notas_Finales!$A:$A = $B18, VALUE(Notas_Finales!$B:$B) &amp; ""/"" &amp; Notas_Finales!$C:$C = Y$1)), ""x"")"),"x")</f>
        <v>x</v>
      </c>
      <c r="Z18" s="15" t="str">
        <f>IFERROR(__xludf.DUMMYFUNCTION("IFERROR(MAX(FILTER(Notas_Finales!$D:$D, Notas_Finales!$A:$A = $B18, VALUE(Notas_Finales!$B:$B) &amp; ""/"" &amp; Notas_Finales!$C:$C = Z$1)), ""x"")"),"x")</f>
        <v>x</v>
      </c>
      <c r="AA18" s="15" t="str">
        <f>IFERROR(__xludf.DUMMYFUNCTION("IFERROR(MAX(FILTER(Notas_Finales!$D:$D, Notas_Finales!$A:$A = $B18, VALUE(Notas_Finales!$B:$B) &amp; ""/"" &amp; Notas_Finales!$C:$C = AA$1)), ""x"")"),"x")</f>
        <v>x</v>
      </c>
    </row>
    <row r="19">
      <c r="A19" s="12">
        <v>18.0</v>
      </c>
      <c r="B19" s="12" t="str">
        <f>IFERROR(__xludf.DUMMYFUNCTION("""COMPUTED_VALUE"""),"PONTORIERO, Bautista")</f>
        <v>PONTORIERO, Bautista</v>
      </c>
      <c r="C19" s="15">
        <f>IFERROR(__xludf.DUMMYFUNCTION("IFERROR(MAX(FILTER(Notas_Finales!$D:$D, Notas_Finales!$A:$A = $B19, VALUE(Notas_Finales!$B:$B) &amp; ""/"" &amp; Notas_Finales!$C:$C = C$1)), ""x"")"),10.0)</f>
        <v>10</v>
      </c>
      <c r="D19" s="15">
        <f>IFERROR(__xludf.DUMMYFUNCTION("IFERROR(MAX(FILTER(Notas_Finales!$D:$D, Notas_Finales!$A:$A = $B19, VALUE(Notas_Finales!$B:$B) &amp; ""/"" &amp; Notas_Finales!$C:$C = D$1)), ""x"")"),10.0)</f>
        <v>10</v>
      </c>
      <c r="E19" s="15" t="str">
        <f>IFERROR(__xludf.DUMMYFUNCTION("IFERROR(MAX(FILTER(Notas_Finales!$D:$D, Notas_Finales!$A:$A = $B19, VALUE(Notas_Finales!$B:$B) &amp; ""/"" &amp; Notas_Finales!$C:$C = E$1)), ""x"")"),"x")</f>
        <v>x</v>
      </c>
      <c r="F19" s="15" t="str">
        <f>IFERROR(__xludf.DUMMYFUNCTION("IFERROR(MAX(FILTER(Notas_Finales!$D:$D, Notas_Finales!$A:$A = $B19, VALUE(Notas_Finales!$B:$B) &amp; ""/"" &amp; Notas_Finales!$C:$C = F$1)), ""x"")"),"x")</f>
        <v>x</v>
      </c>
      <c r="G19" s="15" t="str">
        <f>IFERROR(__xludf.DUMMYFUNCTION("IFERROR(MAX(FILTER(Notas_Finales!$D:$D, Notas_Finales!$A:$A = $B19, VALUE(Notas_Finales!$B:$B) &amp; ""/"" &amp; Notas_Finales!$C:$C = G$1)), ""x"")"),"x")</f>
        <v>x</v>
      </c>
      <c r="H19" s="15" t="str">
        <f>IFERROR(__xludf.DUMMYFUNCTION("IFERROR(MAX(FILTER(Notas_Finales!$D:$D, Notas_Finales!$A:$A = $B19, VALUE(Notas_Finales!$B:$B) &amp; ""/"" &amp; Notas_Finales!$C:$C = H$1)), ""x"")"),"x")</f>
        <v>x</v>
      </c>
      <c r="I19" s="15" t="str">
        <f>IFERROR(__xludf.DUMMYFUNCTION("IFERROR(MAX(FILTER(Notas_Finales!$D:$D, Notas_Finales!$A:$A = $B19, VALUE(Notas_Finales!$B:$B) &amp; ""/"" &amp; Notas_Finales!$C:$C = I$1)), ""x"")"),"x")</f>
        <v>x</v>
      </c>
      <c r="J19" s="15" t="str">
        <f>IFERROR(__xludf.DUMMYFUNCTION("IFERROR(MAX(FILTER(Notas_Finales!$D:$D, Notas_Finales!$A:$A = $B19, VALUE(Notas_Finales!$B:$B) &amp; ""/"" &amp; Notas_Finales!$C:$C = J$1)), ""x"")"),"x")</f>
        <v>x</v>
      </c>
      <c r="K19" s="15" t="str">
        <f>IFERROR(__xludf.DUMMYFUNCTION("IFERROR(MAX(FILTER(Notas_Finales!$D:$D, Notas_Finales!$A:$A = $B19, VALUE(Notas_Finales!$B:$B) &amp; ""/"" &amp; Notas_Finales!$C:$C = K$1)), ""x"")"),"x")</f>
        <v>x</v>
      </c>
      <c r="L19" s="15" t="str">
        <f>IFERROR(__xludf.DUMMYFUNCTION("IFERROR(MAX(FILTER(Notas_Finales!$D:$D, Notas_Finales!$A:$A = $B19, VALUE(Notas_Finales!$B:$B) &amp; ""/"" &amp; Notas_Finales!$C:$C = L$1)), ""x"")"),"x")</f>
        <v>x</v>
      </c>
      <c r="M19" s="15" t="str">
        <f>IFERROR(__xludf.DUMMYFUNCTION("IFERROR(MAX(FILTER(Notas_Finales!$D:$D, Notas_Finales!$A:$A = $B19, VALUE(Notas_Finales!$B:$B) &amp; ""/"" &amp; Notas_Finales!$C:$C = M$1)), ""x"")"),"x")</f>
        <v>x</v>
      </c>
      <c r="N19" s="15" t="str">
        <f>IFERROR(__xludf.DUMMYFUNCTION("IFERROR(MAX(FILTER(Notas_Finales!$D:$D, Notas_Finales!$A:$A = $B19, VALUE(Notas_Finales!$B:$B) &amp; ""/"" &amp; Notas_Finales!$C:$C = N$1)), ""x"")"),"x")</f>
        <v>x</v>
      </c>
      <c r="O19" s="15" t="str">
        <f>IFERROR(__xludf.DUMMYFUNCTION("IFERROR(MAX(FILTER(Notas_Finales!$D:$D, Notas_Finales!$A:$A = $B19, VALUE(Notas_Finales!$B:$B) &amp; ""/"" &amp; Notas_Finales!$C:$C = O$1)), ""x"")"),"x")</f>
        <v>x</v>
      </c>
      <c r="P19" s="15" t="str">
        <f>IFERROR(__xludf.DUMMYFUNCTION("IFERROR(MAX(FILTER(Notas_Finales!$D:$D, Notas_Finales!$A:$A = $B19, VALUE(Notas_Finales!$B:$B) &amp; ""/"" &amp; Notas_Finales!$C:$C = P$1)), ""x"")"),"x")</f>
        <v>x</v>
      </c>
      <c r="Q19" s="15" t="str">
        <f>IFERROR(__xludf.DUMMYFUNCTION("IFERROR(MAX(FILTER(Notas_Finales!$D:$D, Notas_Finales!$A:$A = $B19, VALUE(Notas_Finales!$B:$B) &amp; ""/"" &amp; Notas_Finales!$C:$C = Q$1)), ""x"")"),"x")</f>
        <v>x</v>
      </c>
      <c r="R19" s="15" t="str">
        <f>IFERROR(__xludf.DUMMYFUNCTION("IFERROR(MAX(FILTER(Notas_Finales!$D:$D, Notas_Finales!$A:$A = $B19, VALUE(Notas_Finales!$B:$B) &amp; ""/"" &amp; Notas_Finales!$C:$C = R$1)), ""x"")"),"x")</f>
        <v>x</v>
      </c>
      <c r="S19" s="15" t="str">
        <f>IFERROR(__xludf.DUMMYFUNCTION("IFERROR(MAX(FILTER(Notas_Finales!$D:$D, Notas_Finales!$A:$A = $B19, VALUE(Notas_Finales!$B:$B) &amp; ""/"" &amp; Notas_Finales!$C:$C = S$1)), ""x"")"),"x")</f>
        <v>x</v>
      </c>
      <c r="T19" s="15" t="str">
        <f>IFERROR(__xludf.DUMMYFUNCTION("IFERROR(MAX(FILTER(Notas_Finales!$D:$D, Notas_Finales!$A:$A = $B19, VALUE(Notas_Finales!$B:$B) &amp; ""/"" &amp; Notas_Finales!$C:$C = T$1)), ""x"")"),"x")</f>
        <v>x</v>
      </c>
      <c r="U19" s="15" t="str">
        <f>IFERROR(__xludf.DUMMYFUNCTION("IFERROR(MAX(FILTER(Notas_Finales!$D:$D, Notas_Finales!$A:$A = $B19, VALUE(Notas_Finales!$B:$B) &amp; ""/"" &amp; Notas_Finales!$C:$C = U$1)), ""x"")"),"x")</f>
        <v>x</v>
      </c>
      <c r="V19" s="15" t="str">
        <f>IFERROR(__xludf.DUMMYFUNCTION("IFERROR(MAX(FILTER(Notas_Finales!$D:$D, Notas_Finales!$A:$A = $B19, VALUE(Notas_Finales!$B:$B) &amp; ""/"" &amp; Notas_Finales!$C:$C = V$1)), ""x"")"),"x")</f>
        <v>x</v>
      </c>
      <c r="W19" s="15" t="str">
        <f>IFERROR(__xludf.DUMMYFUNCTION("IFERROR(MAX(FILTER(Notas_Finales!$D:$D, Notas_Finales!$A:$A = $B19, VALUE(Notas_Finales!$B:$B) &amp; ""/"" &amp; Notas_Finales!$C:$C = W$1)), ""x"")"),"x")</f>
        <v>x</v>
      </c>
      <c r="X19" s="15" t="str">
        <f>IFERROR(__xludf.DUMMYFUNCTION("IFERROR(MAX(FILTER(Notas_Finales!$D:$D, Notas_Finales!$A:$A = $B19, VALUE(Notas_Finales!$B:$B) &amp; ""/"" &amp; Notas_Finales!$C:$C = X$1)), ""x"")"),"x")</f>
        <v>x</v>
      </c>
      <c r="Y19" s="15" t="str">
        <f>IFERROR(__xludf.DUMMYFUNCTION("IFERROR(MAX(FILTER(Notas_Finales!$D:$D, Notas_Finales!$A:$A = $B19, VALUE(Notas_Finales!$B:$B) &amp; ""/"" &amp; Notas_Finales!$C:$C = Y$1)), ""x"")"),"x")</f>
        <v>x</v>
      </c>
      <c r="Z19" s="15" t="str">
        <f>IFERROR(__xludf.DUMMYFUNCTION("IFERROR(MAX(FILTER(Notas_Finales!$D:$D, Notas_Finales!$A:$A = $B19, VALUE(Notas_Finales!$B:$B) &amp; ""/"" &amp; Notas_Finales!$C:$C = Z$1)), ""x"")"),"x")</f>
        <v>x</v>
      </c>
      <c r="AA19" s="15" t="str">
        <f>IFERROR(__xludf.DUMMYFUNCTION("IFERROR(MAX(FILTER(Notas_Finales!$D:$D, Notas_Finales!$A:$A = $B19, VALUE(Notas_Finales!$B:$B) &amp; ""/"" &amp; Notas_Finales!$C:$C = AA$1)), ""x"")"),"x")</f>
        <v>x</v>
      </c>
    </row>
    <row r="20">
      <c r="A20" s="12">
        <v>19.0</v>
      </c>
      <c r="B20" s="12" t="str">
        <f>IFERROR(__xludf.DUMMYFUNCTION("""COMPUTED_VALUE"""),"ROMERO GONZÁLEZ, Isis Mariela")</f>
        <v>ROMERO GONZÁLEZ, Isis Mariela</v>
      </c>
      <c r="C20" s="15">
        <f>IFERROR(__xludf.DUMMYFUNCTION("IFERROR(MAX(FILTER(Notas_Finales!$D:$D, Notas_Finales!$A:$A = $B20, VALUE(Notas_Finales!$B:$B) &amp; ""/"" &amp; Notas_Finales!$C:$C = C$1)), ""x"")"),10.0)</f>
        <v>10</v>
      </c>
      <c r="D20" s="15" t="str">
        <f>IFERROR(__xludf.DUMMYFUNCTION("IFERROR(MAX(FILTER(Notas_Finales!$D:$D, Notas_Finales!$A:$A = $B20, VALUE(Notas_Finales!$B:$B) &amp; ""/"" &amp; Notas_Finales!$C:$C = D$1)), ""x"")"),"x")</f>
        <v>x</v>
      </c>
      <c r="E20" s="15" t="str">
        <f>IFERROR(__xludf.DUMMYFUNCTION("IFERROR(MAX(FILTER(Notas_Finales!$D:$D, Notas_Finales!$A:$A = $B20, VALUE(Notas_Finales!$B:$B) &amp; ""/"" &amp; Notas_Finales!$C:$C = E$1)), ""x"")"),"x")</f>
        <v>x</v>
      </c>
      <c r="F20" s="15" t="str">
        <f>IFERROR(__xludf.DUMMYFUNCTION("IFERROR(MAX(FILTER(Notas_Finales!$D:$D, Notas_Finales!$A:$A = $B20, VALUE(Notas_Finales!$B:$B) &amp; ""/"" &amp; Notas_Finales!$C:$C = F$1)), ""x"")"),"x")</f>
        <v>x</v>
      </c>
      <c r="G20" s="15" t="str">
        <f>IFERROR(__xludf.DUMMYFUNCTION("IFERROR(MAX(FILTER(Notas_Finales!$D:$D, Notas_Finales!$A:$A = $B20, VALUE(Notas_Finales!$B:$B) &amp; ""/"" &amp; Notas_Finales!$C:$C = G$1)), ""x"")"),"x")</f>
        <v>x</v>
      </c>
      <c r="H20" s="15" t="str">
        <f>IFERROR(__xludf.DUMMYFUNCTION("IFERROR(MAX(FILTER(Notas_Finales!$D:$D, Notas_Finales!$A:$A = $B20, VALUE(Notas_Finales!$B:$B) &amp; ""/"" &amp; Notas_Finales!$C:$C = H$1)), ""x"")"),"x")</f>
        <v>x</v>
      </c>
      <c r="I20" s="15" t="str">
        <f>IFERROR(__xludf.DUMMYFUNCTION("IFERROR(MAX(FILTER(Notas_Finales!$D:$D, Notas_Finales!$A:$A = $B20, VALUE(Notas_Finales!$B:$B) &amp; ""/"" &amp; Notas_Finales!$C:$C = I$1)), ""x"")"),"x")</f>
        <v>x</v>
      </c>
      <c r="J20" s="15" t="str">
        <f>IFERROR(__xludf.DUMMYFUNCTION("IFERROR(MAX(FILTER(Notas_Finales!$D:$D, Notas_Finales!$A:$A = $B20, VALUE(Notas_Finales!$B:$B) &amp; ""/"" &amp; Notas_Finales!$C:$C = J$1)), ""x"")"),"x")</f>
        <v>x</v>
      </c>
      <c r="K20" s="15" t="str">
        <f>IFERROR(__xludf.DUMMYFUNCTION("IFERROR(MAX(FILTER(Notas_Finales!$D:$D, Notas_Finales!$A:$A = $B20, VALUE(Notas_Finales!$B:$B) &amp; ""/"" &amp; Notas_Finales!$C:$C = K$1)), ""x"")"),"x")</f>
        <v>x</v>
      </c>
      <c r="L20" s="15" t="str">
        <f>IFERROR(__xludf.DUMMYFUNCTION("IFERROR(MAX(FILTER(Notas_Finales!$D:$D, Notas_Finales!$A:$A = $B20, VALUE(Notas_Finales!$B:$B) &amp; ""/"" &amp; Notas_Finales!$C:$C = L$1)), ""x"")"),"x")</f>
        <v>x</v>
      </c>
      <c r="M20" s="15" t="str">
        <f>IFERROR(__xludf.DUMMYFUNCTION("IFERROR(MAX(FILTER(Notas_Finales!$D:$D, Notas_Finales!$A:$A = $B20, VALUE(Notas_Finales!$B:$B) &amp; ""/"" &amp; Notas_Finales!$C:$C = M$1)), ""x"")"),"x")</f>
        <v>x</v>
      </c>
      <c r="N20" s="15" t="str">
        <f>IFERROR(__xludf.DUMMYFUNCTION("IFERROR(MAX(FILTER(Notas_Finales!$D:$D, Notas_Finales!$A:$A = $B20, VALUE(Notas_Finales!$B:$B) &amp; ""/"" &amp; Notas_Finales!$C:$C = N$1)), ""x"")"),"x")</f>
        <v>x</v>
      </c>
      <c r="O20" s="15" t="str">
        <f>IFERROR(__xludf.DUMMYFUNCTION("IFERROR(MAX(FILTER(Notas_Finales!$D:$D, Notas_Finales!$A:$A = $B20, VALUE(Notas_Finales!$B:$B) &amp; ""/"" &amp; Notas_Finales!$C:$C = O$1)), ""x"")"),"x")</f>
        <v>x</v>
      </c>
      <c r="P20" s="15" t="str">
        <f>IFERROR(__xludf.DUMMYFUNCTION("IFERROR(MAX(FILTER(Notas_Finales!$D:$D, Notas_Finales!$A:$A = $B20, VALUE(Notas_Finales!$B:$B) &amp; ""/"" &amp; Notas_Finales!$C:$C = P$1)), ""x"")"),"x")</f>
        <v>x</v>
      </c>
      <c r="Q20" s="15" t="str">
        <f>IFERROR(__xludf.DUMMYFUNCTION("IFERROR(MAX(FILTER(Notas_Finales!$D:$D, Notas_Finales!$A:$A = $B20, VALUE(Notas_Finales!$B:$B) &amp; ""/"" &amp; Notas_Finales!$C:$C = Q$1)), ""x"")"),"x")</f>
        <v>x</v>
      </c>
      <c r="R20" s="15" t="str">
        <f>IFERROR(__xludf.DUMMYFUNCTION("IFERROR(MAX(FILTER(Notas_Finales!$D:$D, Notas_Finales!$A:$A = $B20, VALUE(Notas_Finales!$B:$B) &amp; ""/"" &amp; Notas_Finales!$C:$C = R$1)), ""x"")"),"x")</f>
        <v>x</v>
      </c>
      <c r="S20" s="15" t="str">
        <f>IFERROR(__xludf.DUMMYFUNCTION("IFERROR(MAX(FILTER(Notas_Finales!$D:$D, Notas_Finales!$A:$A = $B20, VALUE(Notas_Finales!$B:$B) &amp; ""/"" &amp; Notas_Finales!$C:$C = S$1)), ""x"")"),"x")</f>
        <v>x</v>
      </c>
      <c r="T20" s="15" t="str">
        <f>IFERROR(__xludf.DUMMYFUNCTION("IFERROR(MAX(FILTER(Notas_Finales!$D:$D, Notas_Finales!$A:$A = $B20, VALUE(Notas_Finales!$B:$B) &amp; ""/"" &amp; Notas_Finales!$C:$C = T$1)), ""x"")"),"x")</f>
        <v>x</v>
      </c>
      <c r="U20" s="15" t="str">
        <f>IFERROR(__xludf.DUMMYFUNCTION("IFERROR(MAX(FILTER(Notas_Finales!$D:$D, Notas_Finales!$A:$A = $B20, VALUE(Notas_Finales!$B:$B) &amp; ""/"" &amp; Notas_Finales!$C:$C = U$1)), ""x"")"),"x")</f>
        <v>x</v>
      </c>
      <c r="V20" s="15" t="str">
        <f>IFERROR(__xludf.DUMMYFUNCTION("IFERROR(MAX(FILTER(Notas_Finales!$D:$D, Notas_Finales!$A:$A = $B20, VALUE(Notas_Finales!$B:$B) &amp; ""/"" &amp; Notas_Finales!$C:$C = V$1)), ""x"")"),"x")</f>
        <v>x</v>
      </c>
      <c r="W20" s="15" t="str">
        <f>IFERROR(__xludf.DUMMYFUNCTION("IFERROR(MAX(FILTER(Notas_Finales!$D:$D, Notas_Finales!$A:$A = $B20, VALUE(Notas_Finales!$B:$B) &amp; ""/"" &amp; Notas_Finales!$C:$C = W$1)), ""x"")"),"x")</f>
        <v>x</v>
      </c>
      <c r="X20" s="15" t="str">
        <f>IFERROR(__xludf.DUMMYFUNCTION("IFERROR(MAX(FILTER(Notas_Finales!$D:$D, Notas_Finales!$A:$A = $B20, VALUE(Notas_Finales!$B:$B) &amp; ""/"" &amp; Notas_Finales!$C:$C = X$1)), ""x"")"),"x")</f>
        <v>x</v>
      </c>
      <c r="Y20" s="15" t="str">
        <f>IFERROR(__xludf.DUMMYFUNCTION("IFERROR(MAX(FILTER(Notas_Finales!$D:$D, Notas_Finales!$A:$A = $B20, VALUE(Notas_Finales!$B:$B) &amp; ""/"" &amp; Notas_Finales!$C:$C = Y$1)), ""x"")"),"x")</f>
        <v>x</v>
      </c>
      <c r="Z20" s="15" t="str">
        <f>IFERROR(__xludf.DUMMYFUNCTION("IFERROR(MAX(FILTER(Notas_Finales!$D:$D, Notas_Finales!$A:$A = $B20, VALUE(Notas_Finales!$B:$B) &amp; ""/"" &amp; Notas_Finales!$C:$C = Z$1)), ""x"")"),"x")</f>
        <v>x</v>
      </c>
      <c r="AA20" s="15" t="str">
        <f>IFERROR(__xludf.DUMMYFUNCTION("IFERROR(MAX(FILTER(Notas_Finales!$D:$D, Notas_Finales!$A:$A = $B20, VALUE(Notas_Finales!$B:$B) &amp; ""/"" &amp; Notas_Finales!$C:$C = AA$1)), ""x"")"),"x")</f>
        <v>x</v>
      </c>
    </row>
    <row r="21">
      <c r="A21" s="12">
        <v>20.0</v>
      </c>
      <c r="B21" s="12" t="str">
        <f>IFERROR(__xludf.DUMMYFUNCTION("""COMPUTED_VALUE"""),"RUEDA, Delfina")</f>
        <v>RUEDA, Delfina</v>
      </c>
      <c r="C21" s="15">
        <f>IFERROR(__xludf.DUMMYFUNCTION("IFERROR(MAX(FILTER(Notas_Finales!$D:$D, Notas_Finales!$A:$A = $B21, VALUE(Notas_Finales!$B:$B) &amp; ""/"" &amp; Notas_Finales!$C:$C = C$1)), ""x"")"),3.0)</f>
        <v>3</v>
      </c>
      <c r="D21" s="15" t="str">
        <f>IFERROR(__xludf.DUMMYFUNCTION("IFERROR(MAX(FILTER(Notas_Finales!$D:$D, Notas_Finales!$A:$A = $B21, VALUE(Notas_Finales!$B:$B) &amp; ""/"" &amp; Notas_Finales!$C:$C = D$1)), ""x"")"),"x")</f>
        <v>x</v>
      </c>
      <c r="E21" s="15" t="str">
        <f>IFERROR(__xludf.DUMMYFUNCTION("IFERROR(MAX(FILTER(Notas_Finales!$D:$D, Notas_Finales!$A:$A = $B21, VALUE(Notas_Finales!$B:$B) &amp; ""/"" &amp; Notas_Finales!$C:$C = E$1)), ""x"")"),"x")</f>
        <v>x</v>
      </c>
      <c r="F21" s="15" t="str">
        <f>IFERROR(__xludf.DUMMYFUNCTION("IFERROR(MAX(FILTER(Notas_Finales!$D:$D, Notas_Finales!$A:$A = $B21, VALUE(Notas_Finales!$B:$B) &amp; ""/"" &amp; Notas_Finales!$C:$C = F$1)), ""x"")"),"x")</f>
        <v>x</v>
      </c>
      <c r="G21" s="15" t="str">
        <f>IFERROR(__xludf.DUMMYFUNCTION("IFERROR(MAX(FILTER(Notas_Finales!$D:$D, Notas_Finales!$A:$A = $B21, VALUE(Notas_Finales!$B:$B) &amp; ""/"" &amp; Notas_Finales!$C:$C = G$1)), ""x"")"),"x")</f>
        <v>x</v>
      </c>
      <c r="H21" s="15" t="str">
        <f>IFERROR(__xludf.DUMMYFUNCTION("IFERROR(MAX(FILTER(Notas_Finales!$D:$D, Notas_Finales!$A:$A = $B21, VALUE(Notas_Finales!$B:$B) &amp; ""/"" &amp; Notas_Finales!$C:$C = H$1)), ""x"")"),"x")</f>
        <v>x</v>
      </c>
      <c r="I21" s="15" t="str">
        <f>IFERROR(__xludf.DUMMYFUNCTION("IFERROR(MAX(FILTER(Notas_Finales!$D:$D, Notas_Finales!$A:$A = $B21, VALUE(Notas_Finales!$B:$B) &amp; ""/"" &amp; Notas_Finales!$C:$C = I$1)), ""x"")"),"x")</f>
        <v>x</v>
      </c>
      <c r="J21" s="15" t="str">
        <f>IFERROR(__xludf.DUMMYFUNCTION("IFERROR(MAX(FILTER(Notas_Finales!$D:$D, Notas_Finales!$A:$A = $B21, VALUE(Notas_Finales!$B:$B) &amp; ""/"" &amp; Notas_Finales!$C:$C = J$1)), ""x"")"),"x")</f>
        <v>x</v>
      </c>
      <c r="K21" s="15" t="str">
        <f>IFERROR(__xludf.DUMMYFUNCTION("IFERROR(MAX(FILTER(Notas_Finales!$D:$D, Notas_Finales!$A:$A = $B21, VALUE(Notas_Finales!$B:$B) &amp; ""/"" &amp; Notas_Finales!$C:$C = K$1)), ""x"")"),"x")</f>
        <v>x</v>
      </c>
      <c r="L21" s="15" t="str">
        <f>IFERROR(__xludf.DUMMYFUNCTION("IFERROR(MAX(FILTER(Notas_Finales!$D:$D, Notas_Finales!$A:$A = $B21, VALUE(Notas_Finales!$B:$B) &amp; ""/"" &amp; Notas_Finales!$C:$C = L$1)), ""x"")"),"x")</f>
        <v>x</v>
      </c>
      <c r="M21" s="15" t="str">
        <f>IFERROR(__xludf.DUMMYFUNCTION("IFERROR(MAX(FILTER(Notas_Finales!$D:$D, Notas_Finales!$A:$A = $B21, VALUE(Notas_Finales!$B:$B) &amp; ""/"" &amp; Notas_Finales!$C:$C = M$1)), ""x"")"),"x")</f>
        <v>x</v>
      </c>
      <c r="N21" s="15" t="str">
        <f>IFERROR(__xludf.DUMMYFUNCTION("IFERROR(MAX(FILTER(Notas_Finales!$D:$D, Notas_Finales!$A:$A = $B21, VALUE(Notas_Finales!$B:$B) &amp; ""/"" &amp; Notas_Finales!$C:$C = N$1)), ""x"")"),"x")</f>
        <v>x</v>
      </c>
      <c r="O21" s="15" t="str">
        <f>IFERROR(__xludf.DUMMYFUNCTION("IFERROR(MAX(FILTER(Notas_Finales!$D:$D, Notas_Finales!$A:$A = $B21, VALUE(Notas_Finales!$B:$B) &amp; ""/"" &amp; Notas_Finales!$C:$C = O$1)), ""x"")"),"x")</f>
        <v>x</v>
      </c>
      <c r="P21" s="15" t="str">
        <f>IFERROR(__xludf.DUMMYFUNCTION("IFERROR(MAX(FILTER(Notas_Finales!$D:$D, Notas_Finales!$A:$A = $B21, VALUE(Notas_Finales!$B:$B) &amp; ""/"" &amp; Notas_Finales!$C:$C = P$1)), ""x"")"),"x")</f>
        <v>x</v>
      </c>
      <c r="Q21" s="15" t="str">
        <f>IFERROR(__xludf.DUMMYFUNCTION("IFERROR(MAX(FILTER(Notas_Finales!$D:$D, Notas_Finales!$A:$A = $B21, VALUE(Notas_Finales!$B:$B) &amp; ""/"" &amp; Notas_Finales!$C:$C = Q$1)), ""x"")"),"x")</f>
        <v>x</v>
      </c>
      <c r="R21" s="15" t="str">
        <f>IFERROR(__xludf.DUMMYFUNCTION("IFERROR(MAX(FILTER(Notas_Finales!$D:$D, Notas_Finales!$A:$A = $B21, VALUE(Notas_Finales!$B:$B) &amp; ""/"" &amp; Notas_Finales!$C:$C = R$1)), ""x"")"),"x")</f>
        <v>x</v>
      </c>
      <c r="S21" s="15" t="str">
        <f>IFERROR(__xludf.DUMMYFUNCTION("IFERROR(MAX(FILTER(Notas_Finales!$D:$D, Notas_Finales!$A:$A = $B21, VALUE(Notas_Finales!$B:$B) &amp; ""/"" &amp; Notas_Finales!$C:$C = S$1)), ""x"")"),"x")</f>
        <v>x</v>
      </c>
      <c r="T21" s="15" t="str">
        <f>IFERROR(__xludf.DUMMYFUNCTION("IFERROR(MAX(FILTER(Notas_Finales!$D:$D, Notas_Finales!$A:$A = $B21, VALUE(Notas_Finales!$B:$B) &amp; ""/"" &amp; Notas_Finales!$C:$C = T$1)), ""x"")"),"x")</f>
        <v>x</v>
      </c>
      <c r="U21" s="15" t="str">
        <f>IFERROR(__xludf.DUMMYFUNCTION("IFERROR(MAX(FILTER(Notas_Finales!$D:$D, Notas_Finales!$A:$A = $B21, VALUE(Notas_Finales!$B:$B) &amp; ""/"" &amp; Notas_Finales!$C:$C = U$1)), ""x"")"),"x")</f>
        <v>x</v>
      </c>
      <c r="V21" s="15" t="str">
        <f>IFERROR(__xludf.DUMMYFUNCTION("IFERROR(MAX(FILTER(Notas_Finales!$D:$D, Notas_Finales!$A:$A = $B21, VALUE(Notas_Finales!$B:$B) &amp; ""/"" &amp; Notas_Finales!$C:$C = V$1)), ""x"")"),"x")</f>
        <v>x</v>
      </c>
      <c r="W21" s="15" t="str">
        <f>IFERROR(__xludf.DUMMYFUNCTION("IFERROR(MAX(FILTER(Notas_Finales!$D:$D, Notas_Finales!$A:$A = $B21, VALUE(Notas_Finales!$B:$B) &amp; ""/"" &amp; Notas_Finales!$C:$C = W$1)), ""x"")"),"x")</f>
        <v>x</v>
      </c>
      <c r="X21" s="15" t="str">
        <f>IFERROR(__xludf.DUMMYFUNCTION("IFERROR(MAX(FILTER(Notas_Finales!$D:$D, Notas_Finales!$A:$A = $B21, VALUE(Notas_Finales!$B:$B) &amp; ""/"" &amp; Notas_Finales!$C:$C = X$1)), ""x"")"),"x")</f>
        <v>x</v>
      </c>
      <c r="Y21" s="15" t="str">
        <f>IFERROR(__xludf.DUMMYFUNCTION("IFERROR(MAX(FILTER(Notas_Finales!$D:$D, Notas_Finales!$A:$A = $B21, VALUE(Notas_Finales!$B:$B) &amp; ""/"" &amp; Notas_Finales!$C:$C = Y$1)), ""x"")"),"x")</f>
        <v>x</v>
      </c>
      <c r="Z21" s="15" t="str">
        <f>IFERROR(__xludf.DUMMYFUNCTION("IFERROR(MAX(FILTER(Notas_Finales!$D:$D, Notas_Finales!$A:$A = $B21, VALUE(Notas_Finales!$B:$B) &amp; ""/"" &amp; Notas_Finales!$C:$C = Z$1)), ""x"")"),"x")</f>
        <v>x</v>
      </c>
      <c r="AA21" s="15" t="str">
        <f>IFERROR(__xludf.DUMMYFUNCTION("IFERROR(MAX(FILTER(Notas_Finales!$D:$D, Notas_Finales!$A:$A = $B21, VALUE(Notas_Finales!$B:$B) &amp; ""/"" &amp; Notas_Finales!$C:$C = AA$1)), ""x"")"),"x")</f>
        <v>x</v>
      </c>
    </row>
    <row r="22">
      <c r="A22" s="12">
        <v>21.0</v>
      </c>
      <c r="B22" s="12" t="str">
        <f>IFERROR(__xludf.DUMMYFUNCTION("""COMPUTED_VALUE"""),"STRILCIC GUISADO, Matías")</f>
        <v>STRILCIC GUISADO, Matías</v>
      </c>
      <c r="C22" s="15" t="str">
        <f>IFERROR(__xludf.DUMMYFUNCTION("IFERROR(MAX(FILTER(Notas_Finales!$D:$D, Notas_Finales!$A:$A = $B22, VALUE(Notas_Finales!$B:$B) &amp; ""/"" &amp; Notas_Finales!$C:$C = C$1)), ""x"")"),"x")</f>
        <v>x</v>
      </c>
      <c r="D22" s="15" t="str">
        <f>IFERROR(__xludf.DUMMYFUNCTION("IFERROR(MAX(FILTER(Notas_Finales!$D:$D, Notas_Finales!$A:$A = $B22, VALUE(Notas_Finales!$B:$B) &amp; ""/"" &amp; Notas_Finales!$C:$C = D$1)), ""x"")"),"x")</f>
        <v>x</v>
      </c>
      <c r="E22" s="15" t="str">
        <f>IFERROR(__xludf.DUMMYFUNCTION("IFERROR(MAX(FILTER(Notas_Finales!$D:$D, Notas_Finales!$A:$A = $B22, VALUE(Notas_Finales!$B:$B) &amp; ""/"" &amp; Notas_Finales!$C:$C = E$1)), ""x"")"),"x")</f>
        <v>x</v>
      </c>
      <c r="F22" s="15" t="str">
        <f>IFERROR(__xludf.DUMMYFUNCTION("IFERROR(MAX(FILTER(Notas_Finales!$D:$D, Notas_Finales!$A:$A = $B22, VALUE(Notas_Finales!$B:$B) &amp; ""/"" &amp; Notas_Finales!$C:$C = F$1)), ""x"")"),"x")</f>
        <v>x</v>
      </c>
      <c r="G22" s="15" t="str">
        <f>IFERROR(__xludf.DUMMYFUNCTION("IFERROR(MAX(FILTER(Notas_Finales!$D:$D, Notas_Finales!$A:$A = $B22, VALUE(Notas_Finales!$B:$B) &amp; ""/"" &amp; Notas_Finales!$C:$C = G$1)), ""x"")"),"x")</f>
        <v>x</v>
      </c>
      <c r="H22" s="15" t="str">
        <f>IFERROR(__xludf.DUMMYFUNCTION("IFERROR(MAX(FILTER(Notas_Finales!$D:$D, Notas_Finales!$A:$A = $B22, VALUE(Notas_Finales!$B:$B) &amp; ""/"" &amp; Notas_Finales!$C:$C = H$1)), ""x"")"),"x")</f>
        <v>x</v>
      </c>
      <c r="I22" s="15" t="str">
        <f>IFERROR(__xludf.DUMMYFUNCTION("IFERROR(MAX(FILTER(Notas_Finales!$D:$D, Notas_Finales!$A:$A = $B22, VALUE(Notas_Finales!$B:$B) &amp; ""/"" &amp; Notas_Finales!$C:$C = I$1)), ""x"")"),"x")</f>
        <v>x</v>
      </c>
      <c r="J22" s="15" t="str">
        <f>IFERROR(__xludf.DUMMYFUNCTION("IFERROR(MAX(FILTER(Notas_Finales!$D:$D, Notas_Finales!$A:$A = $B22, VALUE(Notas_Finales!$B:$B) &amp; ""/"" &amp; Notas_Finales!$C:$C = J$1)), ""x"")"),"x")</f>
        <v>x</v>
      </c>
      <c r="K22" s="15" t="str">
        <f>IFERROR(__xludf.DUMMYFUNCTION("IFERROR(MAX(FILTER(Notas_Finales!$D:$D, Notas_Finales!$A:$A = $B22, VALUE(Notas_Finales!$B:$B) &amp; ""/"" &amp; Notas_Finales!$C:$C = K$1)), ""x"")"),"x")</f>
        <v>x</v>
      </c>
      <c r="L22" s="15" t="str">
        <f>IFERROR(__xludf.DUMMYFUNCTION("IFERROR(MAX(FILTER(Notas_Finales!$D:$D, Notas_Finales!$A:$A = $B22, VALUE(Notas_Finales!$B:$B) &amp; ""/"" &amp; Notas_Finales!$C:$C = L$1)), ""x"")"),"x")</f>
        <v>x</v>
      </c>
      <c r="M22" s="15" t="str">
        <f>IFERROR(__xludf.DUMMYFUNCTION("IFERROR(MAX(FILTER(Notas_Finales!$D:$D, Notas_Finales!$A:$A = $B22, VALUE(Notas_Finales!$B:$B) &amp; ""/"" &amp; Notas_Finales!$C:$C = M$1)), ""x"")"),"x")</f>
        <v>x</v>
      </c>
      <c r="N22" s="15" t="str">
        <f>IFERROR(__xludf.DUMMYFUNCTION("IFERROR(MAX(FILTER(Notas_Finales!$D:$D, Notas_Finales!$A:$A = $B22, VALUE(Notas_Finales!$B:$B) &amp; ""/"" &amp; Notas_Finales!$C:$C = N$1)), ""x"")"),"x")</f>
        <v>x</v>
      </c>
      <c r="O22" s="15" t="str">
        <f>IFERROR(__xludf.DUMMYFUNCTION("IFERROR(MAX(FILTER(Notas_Finales!$D:$D, Notas_Finales!$A:$A = $B22, VALUE(Notas_Finales!$B:$B) &amp; ""/"" &amp; Notas_Finales!$C:$C = O$1)), ""x"")"),"x")</f>
        <v>x</v>
      </c>
      <c r="P22" s="15" t="str">
        <f>IFERROR(__xludf.DUMMYFUNCTION("IFERROR(MAX(FILTER(Notas_Finales!$D:$D, Notas_Finales!$A:$A = $B22, VALUE(Notas_Finales!$B:$B) &amp; ""/"" &amp; Notas_Finales!$C:$C = P$1)), ""x"")"),"x")</f>
        <v>x</v>
      </c>
      <c r="Q22" s="15" t="str">
        <f>IFERROR(__xludf.DUMMYFUNCTION("IFERROR(MAX(FILTER(Notas_Finales!$D:$D, Notas_Finales!$A:$A = $B22, VALUE(Notas_Finales!$B:$B) &amp; ""/"" &amp; Notas_Finales!$C:$C = Q$1)), ""x"")"),"x")</f>
        <v>x</v>
      </c>
      <c r="R22" s="15" t="str">
        <f>IFERROR(__xludf.DUMMYFUNCTION("IFERROR(MAX(FILTER(Notas_Finales!$D:$D, Notas_Finales!$A:$A = $B22, VALUE(Notas_Finales!$B:$B) &amp; ""/"" &amp; Notas_Finales!$C:$C = R$1)), ""x"")"),"x")</f>
        <v>x</v>
      </c>
      <c r="S22" s="15" t="str">
        <f>IFERROR(__xludf.DUMMYFUNCTION("IFERROR(MAX(FILTER(Notas_Finales!$D:$D, Notas_Finales!$A:$A = $B22, VALUE(Notas_Finales!$B:$B) &amp; ""/"" &amp; Notas_Finales!$C:$C = S$1)), ""x"")"),"x")</f>
        <v>x</v>
      </c>
      <c r="T22" s="15" t="str">
        <f>IFERROR(__xludf.DUMMYFUNCTION("IFERROR(MAX(FILTER(Notas_Finales!$D:$D, Notas_Finales!$A:$A = $B22, VALUE(Notas_Finales!$B:$B) &amp; ""/"" &amp; Notas_Finales!$C:$C = T$1)), ""x"")"),"x")</f>
        <v>x</v>
      </c>
      <c r="U22" s="15" t="str">
        <f>IFERROR(__xludf.DUMMYFUNCTION("IFERROR(MAX(FILTER(Notas_Finales!$D:$D, Notas_Finales!$A:$A = $B22, VALUE(Notas_Finales!$B:$B) &amp; ""/"" &amp; Notas_Finales!$C:$C = U$1)), ""x"")"),"x")</f>
        <v>x</v>
      </c>
      <c r="V22" s="15" t="str">
        <f>IFERROR(__xludf.DUMMYFUNCTION("IFERROR(MAX(FILTER(Notas_Finales!$D:$D, Notas_Finales!$A:$A = $B22, VALUE(Notas_Finales!$B:$B) &amp; ""/"" &amp; Notas_Finales!$C:$C = V$1)), ""x"")"),"x")</f>
        <v>x</v>
      </c>
      <c r="W22" s="15" t="str">
        <f>IFERROR(__xludf.DUMMYFUNCTION("IFERROR(MAX(FILTER(Notas_Finales!$D:$D, Notas_Finales!$A:$A = $B22, VALUE(Notas_Finales!$B:$B) &amp; ""/"" &amp; Notas_Finales!$C:$C = W$1)), ""x"")"),"x")</f>
        <v>x</v>
      </c>
      <c r="X22" s="15" t="str">
        <f>IFERROR(__xludf.DUMMYFUNCTION("IFERROR(MAX(FILTER(Notas_Finales!$D:$D, Notas_Finales!$A:$A = $B22, VALUE(Notas_Finales!$B:$B) &amp; ""/"" &amp; Notas_Finales!$C:$C = X$1)), ""x"")"),"x")</f>
        <v>x</v>
      </c>
      <c r="Y22" s="15" t="str">
        <f>IFERROR(__xludf.DUMMYFUNCTION("IFERROR(MAX(FILTER(Notas_Finales!$D:$D, Notas_Finales!$A:$A = $B22, VALUE(Notas_Finales!$B:$B) &amp; ""/"" &amp; Notas_Finales!$C:$C = Y$1)), ""x"")"),"x")</f>
        <v>x</v>
      </c>
      <c r="Z22" s="15" t="str">
        <f>IFERROR(__xludf.DUMMYFUNCTION("IFERROR(MAX(FILTER(Notas_Finales!$D:$D, Notas_Finales!$A:$A = $B22, VALUE(Notas_Finales!$B:$B) &amp; ""/"" &amp; Notas_Finales!$C:$C = Z$1)), ""x"")"),"x")</f>
        <v>x</v>
      </c>
      <c r="AA22" s="15" t="str">
        <f>IFERROR(__xludf.DUMMYFUNCTION("IFERROR(MAX(FILTER(Notas_Finales!$D:$D, Notas_Finales!$A:$A = $B22, VALUE(Notas_Finales!$B:$B) &amp; ""/"" &amp; Notas_Finales!$C:$C = AA$1)), ""x"")"),"x")</f>
        <v>x</v>
      </c>
    </row>
    <row r="23">
      <c r="A23" s="12">
        <v>22.0</v>
      </c>
      <c r="B23" s="12" t="str">
        <f>IFERROR(__xludf.DUMMYFUNCTION("""COMPUTED_VALUE"""),"VILLAR OSORIO, Juan Manuel")</f>
        <v>VILLAR OSORIO, Juan Manuel</v>
      </c>
      <c r="C23" s="15">
        <f>IFERROR(__xludf.DUMMYFUNCTION("IFERROR(MAX(FILTER(Notas_Finales!$D:$D, Notas_Finales!$A:$A = $B23, VALUE(Notas_Finales!$B:$B) &amp; ""/"" &amp; Notas_Finales!$C:$C = C$1)), ""x"")"),2.0)</f>
        <v>2</v>
      </c>
      <c r="D23" s="15" t="str">
        <f>IFERROR(__xludf.DUMMYFUNCTION("IFERROR(MAX(FILTER(Notas_Finales!$D:$D, Notas_Finales!$A:$A = $B23, VALUE(Notas_Finales!$B:$B) &amp; ""/"" &amp; Notas_Finales!$C:$C = D$1)), ""x"")"),"x")</f>
        <v>x</v>
      </c>
      <c r="E23" s="15" t="str">
        <f>IFERROR(__xludf.DUMMYFUNCTION("IFERROR(MAX(FILTER(Notas_Finales!$D:$D, Notas_Finales!$A:$A = $B23, VALUE(Notas_Finales!$B:$B) &amp; ""/"" &amp; Notas_Finales!$C:$C = E$1)), ""x"")"),"x")</f>
        <v>x</v>
      </c>
      <c r="F23" s="15" t="str">
        <f>IFERROR(__xludf.DUMMYFUNCTION("IFERROR(MAX(FILTER(Notas_Finales!$D:$D, Notas_Finales!$A:$A = $B23, VALUE(Notas_Finales!$B:$B) &amp; ""/"" &amp; Notas_Finales!$C:$C = F$1)), ""x"")"),"x")</f>
        <v>x</v>
      </c>
      <c r="G23" s="15" t="str">
        <f>IFERROR(__xludf.DUMMYFUNCTION("IFERROR(MAX(FILTER(Notas_Finales!$D:$D, Notas_Finales!$A:$A = $B23, VALUE(Notas_Finales!$B:$B) &amp; ""/"" &amp; Notas_Finales!$C:$C = G$1)), ""x"")"),"x")</f>
        <v>x</v>
      </c>
      <c r="H23" s="15" t="str">
        <f>IFERROR(__xludf.DUMMYFUNCTION("IFERROR(MAX(FILTER(Notas_Finales!$D:$D, Notas_Finales!$A:$A = $B23, VALUE(Notas_Finales!$B:$B) &amp; ""/"" &amp; Notas_Finales!$C:$C = H$1)), ""x"")"),"x")</f>
        <v>x</v>
      </c>
      <c r="I23" s="15" t="str">
        <f>IFERROR(__xludf.DUMMYFUNCTION("IFERROR(MAX(FILTER(Notas_Finales!$D:$D, Notas_Finales!$A:$A = $B23, VALUE(Notas_Finales!$B:$B) &amp; ""/"" &amp; Notas_Finales!$C:$C = I$1)), ""x"")"),"x")</f>
        <v>x</v>
      </c>
      <c r="J23" s="15" t="str">
        <f>IFERROR(__xludf.DUMMYFUNCTION("IFERROR(MAX(FILTER(Notas_Finales!$D:$D, Notas_Finales!$A:$A = $B23, VALUE(Notas_Finales!$B:$B) &amp; ""/"" &amp; Notas_Finales!$C:$C = J$1)), ""x"")"),"x")</f>
        <v>x</v>
      </c>
      <c r="K23" s="15" t="str">
        <f>IFERROR(__xludf.DUMMYFUNCTION("IFERROR(MAX(FILTER(Notas_Finales!$D:$D, Notas_Finales!$A:$A = $B23, VALUE(Notas_Finales!$B:$B) &amp; ""/"" &amp; Notas_Finales!$C:$C = K$1)), ""x"")"),"x")</f>
        <v>x</v>
      </c>
      <c r="L23" s="15" t="str">
        <f>IFERROR(__xludf.DUMMYFUNCTION("IFERROR(MAX(FILTER(Notas_Finales!$D:$D, Notas_Finales!$A:$A = $B23, VALUE(Notas_Finales!$B:$B) &amp; ""/"" &amp; Notas_Finales!$C:$C = L$1)), ""x"")"),"x")</f>
        <v>x</v>
      </c>
      <c r="M23" s="15" t="str">
        <f>IFERROR(__xludf.DUMMYFUNCTION("IFERROR(MAX(FILTER(Notas_Finales!$D:$D, Notas_Finales!$A:$A = $B23, VALUE(Notas_Finales!$B:$B) &amp; ""/"" &amp; Notas_Finales!$C:$C = M$1)), ""x"")"),"x")</f>
        <v>x</v>
      </c>
      <c r="N23" s="15" t="str">
        <f>IFERROR(__xludf.DUMMYFUNCTION("IFERROR(MAX(FILTER(Notas_Finales!$D:$D, Notas_Finales!$A:$A = $B23, VALUE(Notas_Finales!$B:$B) &amp; ""/"" &amp; Notas_Finales!$C:$C = N$1)), ""x"")"),"x")</f>
        <v>x</v>
      </c>
      <c r="O23" s="15" t="str">
        <f>IFERROR(__xludf.DUMMYFUNCTION("IFERROR(MAX(FILTER(Notas_Finales!$D:$D, Notas_Finales!$A:$A = $B23, VALUE(Notas_Finales!$B:$B) &amp; ""/"" &amp; Notas_Finales!$C:$C = O$1)), ""x"")"),"x")</f>
        <v>x</v>
      </c>
      <c r="P23" s="15" t="str">
        <f>IFERROR(__xludf.DUMMYFUNCTION("IFERROR(MAX(FILTER(Notas_Finales!$D:$D, Notas_Finales!$A:$A = $B23, VALUE(Notas_Finales!$B:$B) &amp; ""/"" &amp; Notas_Finales!$C:$C = P$1)), ""x"")"),"x")</f>
        <v>x</v>
      </c>
      <c r="Q23" s="15" t="str">
        <f>IFERROR(__xludf.DUMMYFUNCTION("IFERROR(MAX(FILTER(Notas_Finales!$D:$D, Notas_Finales!$A:$A = $B23, VALUE(Notas_Finales!$B:$B) &amp; ""/"" &amp; Notas_Finales!$C:$C = Q$1)), ""x"")"),"x")</f>
        <v>x</v>
      </c>
      <c r="R23" s="15" t="str">
        <f>IFERROR(__xludf.DUMMYFUNCTION("IFERROR(MAX(FILTER(Notas_Finales!$D:$D, Notas_Finales!$A:$A = $B23, VALUE(Notas_Finales!$B:$B) &amp; ""/"" &amp; Notas_Finales!$C:$C = R$1)), ""x"")"),"x")</f>
        <v>x</v>
      </c>
      <c r="S23" s="15" t="str">
        <f>IFERROR(__xludf.DUMMYFUNCTION("IFERROR(MAX(FILTER(Notas_Finales!$D:$D, Notas_Finales!$A:$A = $B23, VALUE(Notas_Finales!$B:$B) &amp; ""/"" &amp; Notas_Finales!$C:$C = S$1)), ""x"")"),"x")</f>
        <v>x</v>
      </c>
      <c r="T23" s="15" t="str">
        <f>IFERROR(__xludf.DUMMYFUNCTION("IFERROR(MAX(FILTER(Notas_Finales!$D:$D, Notas_Finales!$A:$A = $B23, VALUE(Notas_Finales!$B:$B) &amp; ""/"" &amp; Notas_Finales!$C:$C = T$1)), ""x"")"),"x")</f>
        <v>x</v>
      </c>
      <c r="U23" s="15" t="str">
        <f>IFERROR(__xludf.DUMMYFUNCTION("IFERROR(MAX(FILTER(Notas_Finales!$D:$D, Notas_Finales!$A:$A = $B23, VALUE(Notas_Finales!$B:$B) &amp; ""/"" &amp; Notas_Finales!$C:$C = U$1)), ""x"")"),"x")</f>
        <v>x</v>
      </c>
      <c r="V23" s="15" t="str">
        <f>IFERROR(__xludf.DUMMYFUNCTION("IFERROR(MAX(FILTER(Notas_Finales!$D:$D, Notas_Finales!$A:$A = $B23, VALUE(Notas_Finales!$B:$B) &amp; ""/"" &amp; Notas_Finales!$C:$C = V$1)), ""x"")"),"x")</f>
        <v>x</v>
      </c>
      <c r="W23" s="15" t="str">
        <f>IFERROR(__xludf.DUMMYFUNCTION("IFERROR(MAX(FILTER(Notas_Finales!$D:$D, Notas_Finales!$A:$A = $B23, VALUE(Notas_Finales!$B:$B) &amp; ""/"" &amp; Notas_Finales!$C:$C = W$1)), ""x"")"),"x")</f>
        <v>x</v>
      </c>
      <c r="X23" s="15" t="str">
        <f>IFERROR(__xludf.DUMMYFUNCTION("IFERROR(MAX(FILTER(Notas_Finales!$D:$D, Notas_Finales!$A:$A = $B23, VALUE(Notas_Finales!$B:$B) &amp; ""/"" &amp; Notas_Finales!$C:$C = X$1)), ""x"")"),"x")</f>
        <v>x</v>
      </c>
      <c r="Y23" s="15" t="str">
        <f>IFERROR(__xludf.DUMMYFUNCTION("IFERROR(MAX(FILTER(Notas_Finales!$D:$D, Notas_Finales!$A:$A = $B23, VALUE(Notas_Finales!$B:$B) &amp; ""/"" &amp; Notas_Finales!$C:$C = Y$1)), ""x"")"),"x")</f>
        <v>x</v>
      </c>
      <c r="Z23" s="15" t="str">
        <f>IFERROR(__xludf.DUMMYFUNCTION("IFERROR(MAX(FILTER(Notas_Finales!$D:$D, Notas_Finales!$A:$A = $B23, VALUE(Notas_Finales!$B:$B) &amp; ""/"" &amp; Notas_Finales!$C:$C = Z$1)), ""x"")"),"x")</f>
        <v>x</v>
      </c>
      <c r="AA23" s="15" t="str">
        <f>IFERROR(__xludf.DUMMYFUNCTION("IFERROR(MAX(FILTER(Notas_Finales!$D:$D, Notas_Finales!$A:$A = $B23, VALUE(Notas_Finales!$B:$B) &amp; ""/"" &amp; Notas_Finales!$C:$C = AA$1)), ""x"")"),"x")</f>
        <v>x</v>
      </c>
    </row>
    <row r="24">
      <c r="A24" s="12">
        <v>23.0</v>
      </c>
      <c r="B24" s="12" t="str">
        <f>IFERROR(__xludf.DUMMYFUNCTION("""COMPUTED_VALUE"""),"VOLANTE,Guiliano")</f>
        <v>VOLANTE,Guiliano</v>
      </c>
      <c r="C24" s="15">
        <f>IFERROR(__xludf.DUMMYFUNCTION("IFERROR(MAX(FILTER(Notas_Finales!$D:$D, Notas_Finales!$A:$A = $B24, VALUE(Notas_Finales!$B:$B) &amp; ""/"" &amp; Notas_Finales!$C:$C = C$1)), ""x"")"),1.0)</f>
        <v>1</v>
      </c>
      <c r="D24" s="15" t="str">
        <f>IFERROR(__xludf.DUMMYFUNCTION("IFERROR(MAX(FILTER(Notas_Finales!$D:$D, Notas_Finales!$A:$A = $B24, VALUE(Notas_Finales!$B:$B) &amp; ""/"" &amp; Notas_Finales!$C:$C = D$1)), ""x"")"),"x")</f>
        <v>x</v>
      </c>
      <c r="E24" s="15" t="str">
        <f>IFERROR(__xludf.DUMMYFUNCTION("IFERROR(MAX(FILTER(Notas_Finales!$D:$D, Notas_Finales!$A:$A = $B24, VALUE(Notas_Finales!$B:$B) &amp; ""/"" &amp; Notas_Finales!$C:$C = E$1)), ""x"")"),"x")</f>
        <v>x</v>
      </c>
      <c r="F24" s="15" t="str">
        <f>IFERROR(__xludf.DUMMYFUNCTION("IFERROR(MAX(FILTER(Notas_Finales!$D:$D, Notas_Finales!$A:$A = $B24, VALUE(Notas_Finales!$B:$B) &amp; ""/"" &amp; Notas_Finales!$C:$C = F$1)), ""x"")"),"x")</f>
        <v>x</v>
      </c>
      <c r="G24" s="15" t="str">
        <f>IFERROR(__xludf.DUMMYFUNCTION("IFERROR(MAX(FILTER(Notas_Finales!$D:$D, Notas_Finales!$A:$A = $B24, VALUE(Notas_Finales!$B:$B) &amp; ""/"" &amp; Notas_Finales!$C:$C = G$1)), ""x"")"),"x")</f>
        <v>x</v>
      </c>
      <c r="H24" s="15" t="str">
        <f>IFERROR(__xludf.DUMMYFUNCTION("IFERROR(MAX(FILTER(Notas_Finales!$D:$D, Notas_Finales!$A:$A = $B24, VALUE(Notas_Finales!$B:$B) &amp; ""/"" &amp; Notas_Finales!$C:$C = H$1)), ""x"")"),"x")</f>
        <v>x</v>
      </c>
      <c r="I24" s="15" t="str">
        <f>IFERROR(__xludf.DUMMYFUNCTION("IFERROR(MAX(FILTER(Notas_Finales!$D:$D, Notas_Finales!$A:$A = $B24, VALUE(Notas_Finales!$B:$B) &amp; ""/"" &amp; Notas_Finales!$C:$C = I$1)), ""x"")"),"x")</f>
        <v>x</v>
      </c>
      <c r="J24" s="15" t="str">
        <f>IFERROR(__xludf.DUMMYFUNCTION("IFERROR(MAX(FILTER(Notas_Finales!$D:$D, Notas_Finales!$A:$A = $B24, VALUE(Notas_Finales!$B:$B) &amp; ""/"" &amp; Notas_Finales!$C:$C = J$1)), ""x"")"),"x")</f>
        <v>x</v>
      </c>
      <c r="K24" s="15" t="str">
        <f>IFERROR(__xludf.DUMMYFUNCTION("IFERROR(MAX(FILTER(Notas_Finales!$D:$D, Notas_Finales!$A:$A = $B24, VALUE(Notas_Finales!$B:$B) &amp; ""/"" &amp; Notas_Finales!$C:$C = K$1)), ""x"")"),"x")</f>
        <v>x</v>
      </c>
      <c r="L24" s="15" t="str">
        <f>IFERROR(__xludf.DUMMYFUNCTION("IFERROR(MAX(FILTER(Notas_Finales!$D:$D, Notas_Finales!$A:$A = $B24, VALUE(Notas_Finales!$B:$B) &amp; ""/"" &amp; Notas_Finales!$C:$C = L$1)), ""x"")"),"x")</f>
        <v>x</v>
      </c>
      <c r="M24" s="15" t="str">
        <f>IFERROR(__xludf.DUMMYFUNCTION("IFERROR(MAX(FILTER(Notas_Finales!$D:$D, Notas_Finales!$A:$A = $B24, VALUE(Notas_Finales!$B:$B) &amp; ""/"" &amp; Notas_Finales!$C:$C = M$1)), ""x"")"),"x")</f>
        <v>x</v>
      </c>
      <c r="N24" s="15" t="str">
        <f>IFERROR(__xludf.DUMMYFUNCTION("IFERROR(MAX(FILTER(Notas_Finales!$D:$D, Notas_Finales!$A:$A = $B24, VALUE(Notas_Finales!$B:$B) &amp; ""/"" &amp; Notas_Finales!$C:$C = N$1)), ""x"")"),"x")</f>
        <v>x</v>
      </c>
      <c r="O24" s="15" t="str">
        <f>IFERROR(__xludf.DUMMYFUNCTION("IFERROR(MAX(FILTER(Notas_Finales!$D:$D, Notas_Finales!$A:$A = $B24, VALUE(Notas_Finales!$B:$B) &amp; ""/"" &amp; Notas_Finales!$C:$C = O$1)), ""x"")"),"x")</f>
        <v>x</v>
      </c>
      <c r="P24" s="15" t="str">
        <f>IFERROR(__xludf.DUMMYFUNCTION("IFERROR(MAX(FILTER(Notas_Finales!$D:$D, Notas_Finales!$A:$A = $B24, VALUE(Notas_Finales!$B:$B) &amp; ""/"" &amp; Notas_Finales!$C:$C = P$1)), ""x"")"),"x")</f>
        <v>x</v>
      </c>
      <c r="Q24" s="15" t="str">
        <f>IFERROR(__xludf.DUMMYFUNCTION("IFERROR(MAX(FILTER(Notas_Finales!$D:$D, Notas_Finales!$A:$A = $B24, VALUE(Notas_Finales!$B:$B) &amp; ""/"" &amp; Notas_Finales!$C:$C = Q$1)), ""x"")"),"x")</f>
        <v>x</v>
      </c>
      <c r="R24" s="15" t="str">
        <f>IFERROR(__xludf.DUMMYFUNCTION("IFERROR(MAX(FILTER(Notas_Finales!$D:$D, Notas_Finales!$A:$A = $B24, VALUE(Notas_Finales!$B:$B) &amp; ""/"" &amp; Notas_Finales!$C:$C = R$1)), ""x"")"),"x")</f>
        <v>x</v>
      </c>
      <c r="S24" s="15" t="str">
        <f>IFERROR(__xludf.DUMMYFUNCTION("IFERROR(MAX(FILTER(Notas_Finales!$D:$D, Notas_Finales!$A:$A = $B24, VALUE(Notas_Finales!$B:$B) &amp; ""/"" &amp; Notas_Finales!$C:$C = S$1)), ""x"")"),"x")</f>
        <v>x</v>
      </c>
      <c r="T24" s="15" t="str">
        <f>IFERROR(__xludf.DUMMYFUNCTION("IFERROR(MAX(FILTER(Notas_Finales!$D:$D, Notas_Finales!$A:$A = $B24, VALUE(Notas_Finales!$B:$B) &amp; ""/"" &amp; Notas_Finales!$C:$C = T$1)), ""x"")"),"x")</f>
        <v>x</v>
      </c>
      <c r="U24" s="15" t="str">
        <f>IFERROR(__xludf.DUMMYFUNCTION("IFERROR(MAX(FILTER(Notas_Finales!$D:$D, Notas_Finales!$A:$A = $B24, VALUE(Notas_Finales!$B:$B) &amp; ""/"" &amp; Notas_Finales!$C:$C = U$1)), ""x"")"),"x")</f>
        <v>x</v>
      </c>
      <c r="V24" s="15" t="str">
        <f>IFERROR(__xludf.DUMMYFUNCTION("IFERROR(MAX(FILTER(Notas_Finales!$D:$D, Notas_Finales!$A:$A = $B24, VALUE(Notas_Finales!$B:$B) &amp; ""/"" &amp; Notas_Finales!$C:$C = V$1)), ""x"")"),"x")</f>
        <v>x</v>
      </c>
      <c r="W24" s="15" t="str">
        <f>IFERROR(__xludf.DUMMYFUNCTION("IFERROR(MAX(FILTER(Notas_Finales!$D:$D, Notas_Finales!$A:$A = $B24, VALUE(Notas_Finales!$B:$B) &amp; ""/"" &amp; Notas_Finales!$C:$C = W$1)), ""x"")"),"x")</f>
        <v>x</v>
      </c>
      <c r="X24" s="15" t="str">
        <f>IFERROR(__xludf.DUMMYFUNCTION("IFERROR(MAX(FILTER(Notas_Finales!$D:$D, Notas_Finales!$A:$A = $B24, VALUE(Notas_Finales!$B:$B) &amp; ""/"" &amp; Notas_Finales!$C:$C = X$1)), ""x"")"),"x")</f>
        <v>x</v>
      </c>
      <c r="Y24" s="15" t="str">
        <f>IFERROR(__xludf.DUMMYFUNCTION("IFERROR(MAX(FILTER(Notas_Finales!$D:$D, Notas_Finales!$A:$A = $B24, VALUE(Notas_Finales!$B:$B) &amp; ""/"" &amp; Notas_Finales!$C:$C = Y$1)), ""x"")"),"x")</f>
        <v>x</v>
      </c>
      <c r="Z24" s="15" t="str">
        <f>IFERROR(__xludf.DUMMYFUNCTION("IFERROR(MAX(FILTER(Notas_Finales!$D:$D, Notas_Finales!$A:$A = $B24, VALUE(Notas_Finales!$B:$B) &amp; ""/"" &amp; Notas_Finales!$C:$C = Z$1)), ""x"")"),"x")</f>
        <v>x</v>
      </c>
      <c r="AA24" s="15" t="str">
        <f>IFERROR(__xludf.DUMMYFUNCTION("IFERROR(MAX(FILTER(Notas_Finales!$D:$D, Notas_Finales!$A:$A = $B24, VALUE(Notas_Finales!$B:$B) &amp; ""/"" &amp; Notas_Finales!$C:$C = AA$1)), ""x"")"),"x")</f>
        <v>x</v>
      </c>
    </row>
    <row r="25">
      <c r="A25" s="12">
        <v>24.0</v>
      </c>
      <c r="B25" s="12" t="str">
        <f>IFERROR(__xludf.DUMMYFUNCTION("""COMPUTED_VALUE"""),"ZALAZAR PETRILLO, Enzo Uriel")</f>
        <v>ZALAZAR PETRILLO, Enzo Uriel</v>
      </c>
      <c r="C25" s="15">
        <f>IFERROR(__xludf.DUMMYFUNCTION("IFERROR(MAX(FILTER(Notas_Finales!$D:$D, Notas_Finales!$A:$A = $B25, VALUE(Notas_Finales!$B:$B) &amp; ""/"" &amp; Notas_Finales!$C:$C = C$1)), ""x"")"),10.0)</f>
        <v>10</v>
      </c>
      <c r="D25" s="15" t="str">
        <f>IFERROR(__xludf.DUMMYFUNCTION("IFERROR(MAX(FILTER(Notas_Finales!$D:$D, Notas_Finales!$A:$A = $B25, VALUE(Notas_Finales!$B:$B) &amp; ""/"" &amp; Notas_Finales!$C:$C = D$1)), ""x"")"),"x")</f>
        <v>x</v>
      </c>
      <c r="E25" s="15" t="str">
        <f>IFERROR(__xludf.DUMMYFUNCTION("IFERROR(MAX(FILTER(Notas_Finales!$D:$D, Notas_Finales!$A:$A = $B25, VALUE(Notas_Finales!$B:$B) &amp; ""/"" &amp; Notas_Finales!$C:$C = E$1)), ""x"")"),"x")</f>
        <v>x</v>
      </c>
      <c r="F25" s="15" t="str">
        <f>IFERROR(__xludf.DUMMYFUNCTION("IFERROR(MAX(FILTER(Notas_Finales!$D:$D, Notas_Finales!$A:$A = $B25, VALUE(Notas_Finales!$B:$B) &amp; ""/"" &amp; Notas_Finales!$C:$C = F$1)), ""x"")"),"x")</f>
        <v>x</v>
      </c>
      <c r="G25" s="15" t="str">
        <f>IFERROR(__xludf.DUMMYFUNCTION("IFERROR(MAX(FILTER(Notas_Finales!$D:$D, Notas_Finales!$A:$A = $B25, VALUE(Notas_Finales!$B:$B) &amp; ""/"" &amp; Notas_Finales!$C:$C = G$1)), ""x"")"),"x")</f>
        <v>x</v>
      </c>
      <c r="H25" s="15" t="str">
        <f>IFERROR(__xludf.DUMMYFUNCTION("IFERROR(MAX(FILTER(Notas_Finales!$D:$D, Notas_Finales!$A:$A = $B25, VALUE(Notas_Finales!$B:$B) &amp; ""/"" &amp; Notas_Finales!$C:$C = H$1)), ""x"")"),"x")</f>
        <v>x</v>
      </c>
      <c r="I25" s="15" t="str">
        <f>IFERROR(__xludf.DUMMYFUNCTION("IFERROR(MAX(FILTER(Notas_Finales!$D:$D, Notas_Finales!$A:$A = $B25, VALUE(Notas_Finales!$B:$B) &amp; ""/"" &amp; Notas_Finales!$C:$C = I$1)), ""x"")"),"x")</f>
        <v>x</v>
      </c>
      <c r="J25" s="15" t="str">
        <f>IFERROR(__xludf.DUMMYFUNCTION("IFERROR(MAX(FILTER(Notas_Finales!$D:$D, Notas_Finales!$A:$A = $B25, VALUE(Notas_Finales!$B:$B) &amp; ""/"" &amp; Notas_Finales!$C:$C = J$1)), ""x"")"),"x")</f>
        <v>x</v>
      </c>
      <c r="K25" s="15" t="str">
        <f>IFERROR(__xludf.DUMMYFUNCTION("IFERROR(MAX(FILTER(Notas_Finales!$D:$D, Notas_Finales!$A:$A = $B25, VALUE(Notas_Finales!$B:$B) &amp; ""/"" &amp; Notas_Finales!$C:$C = K$1)), ""x"")"),"x")</f>
        <v>x</v>
      </c>
      <c r="L25" s="15" t="str">
        <f>IFERROR(__xludf.DUMMYFUNCTION("IFERROR(MAX(FILTER(Notas_Finales!$D:$D, Notas_Finales!$A:$A = $B25, VALUE(Notas_Finales!$B:$B) &amp; ""/"" &amp; Notas_Finales!$C:$C = L$1)), ""x"")"),"x")</f>
        <v>x</v>
      </c>
      <c r="M25" s="15" t="str">
        <f>IFERROR(__xludf.DUMMYFUNCTION("IFERROR(MAX(FILTER(Notas_Finales!$D:$D, Notas_Finales!$A:$A = $B25, VALUE(Notas_Finales!$B:$B) &amp; ""/"" &amp; Notas_Finales!$C:$C = M$1)), ""x"")"),"x")</f>
        <v>x</v>
      </c>
      <c r="N25" s="15" t="str">
        <f>IFERROR(__xludf.DUMMYFUNCTION("IFERROR(MAX(FILTER(Notas_Finales!$D:$D, Notas_Finales!$A:$A = $B25, VALUE(Notas_Finales!$B:$B) &amp; ""/"" &amp; Notas_Finales!$C:$C = N$1)), ""x"")"),"x")</f>
        <v>x</v>
      </c>
      <c r="O25" s="15" t="str">
        <f>IFERROR(__xludf.DUMMYFUNCTION("IFERROR(MAX(FILTER(Notas_Finales!$D:$D, Notas_Finales!$A:$A = $B25, VALUE(Notas_Finales!$B:$B) &amp; ""/"" &amp; Notas_Finales!$C:$C = O$1)), ""x"")"),"x")</f>
        <v>x</v>
      </c>
      <c r="P25" s="15" t="str">
        <f>IFERROR(__xludf.DUMMYFUNCTION("IFERROR(MAX(FILTER(Notas_Finales!$D:$D, Notas_Finales!$A:$A = $B25, VALUE(Notas_Finales!$B:$B) &amp; ""/"" &amp; Notas_Finales!$C:$C = P$1)), ""x"")"),"x")</f>
        <v>x</v>
      </c>
      <c r="Q25" s="15" t="str">
        <f>IFERROR(__xludf.DUMMYFUNCTION("IFERROR(MAX(FILTER(Notas_Finales!$D:$D, Notas_Finales!$A:$A = $B25, VALUE(Notas_Finales!$B:$B) &amp; ""/"" &amp; Notas_Finales!$C:$C = Q$1)), ""x"")"),"x")</f>
        <v>x</v>
      </c>
      <c r="R25" s="15" t="str">
        <f>IFERROR(__xludf.DUMMYFUNCTION("IFERROR(MAX(FILTER(Notas_Finales!$D:$D, Notas_Finales!$A:$A = $B25, VALUE(Notas_Finales!$B:$B) &amp; ""/"" &amp; Notas_Finales!$C:$C = R$1)), ""x"")"),"x")</f>
        <v>x</v>
      </c>
      <c r="S25" s="15" t="str">
        <f>IFERROR(__xludf.DUMMYFUNCTION("IFERROR(MAX(FILTER(Notas_Finales!$D:$D, Notas_Finales!$A:$A = $B25, VALUE(Notas_Finales!$B:$B) &amp; ""/"" &amp; Notas_Finales!$C:$C = S$1)), ""x"")"),"x")</f>
        <v>x</v>
      </c>
      <c r="T25" s="15" t="str">
        <f>IFERROR(__xludf.DUMMYFUNCTION("IFERROR(MAX(FILTER(Notas_Finales!$D:$D, Notas_Finales!$A:$A = $B25, VALUE(Notas_Finales!$B:$B) &amp; ""/"" &amp; Notas_Finales!$C:$C = T$1)), ""x"")"),"x")</f>
        <v>x</v>
      </c>
      <c r="U25" s="15" t="str">
        <f>IFERROR(__xludf.DUMMYFUNCTION("IFERROR(MAX(FILTER(Notas_Finales!$D:$D, Notas_Finales!$A:$A = $B25, VALUE(Notas_Finales!$B:$B) &amp; ""/"" &amp; Notas_Finales!$C:$C = U$1)), ""x"")"),"x")</f>
        <v>x</v>
      </c>
      <c r="V25" s="15" t="str">
        <f>IFERROR(__xludf.DUMMYFUNCTION("IFERROR(MAX(FILTER(Notas_Finales!$D:$D, Notas_Finales!$A:$A = $B25, VALUE(Notas_Finales!$B:$B) &amp; ""/"" &amp; Notas_Finales!$C:$C = V$1)), ""x"")"),"x")</f>
        <v>x</v>
      </c>
      <c r="W25" s="15" t="str">
        <f>IFERROR(__xludf.DUMMYFUNCTION("IFERROR(MAX(FILTER(Notas_Finales!$D:$D, Notas_Finales!$A:$A = $B25, VALUE(Notas_Finales!$B:$B) &amp; ""/"" &amp; Notas_Finales!$C:$C = W$1)), ""x"")"),"x")</f>
        <v>x</v>
      </c>
      <c r="X25" s="15" t="str">
        <f>IFERROR(__xludf.DUMMYFUNCTION("IFERROR(MAX(FILTER(Notas_Finales!$D:$D, Notas_Finales!$A:$A = $B25, VALUE(Notas_Finales!$B:$B) &amp; ""/"" &amp; Notas_Finales!$C:$C = X$1)), ""x"")"),"x")</f>
        <v>x</v>
      </c>
      <c r="Y25" s="15" t="str">
        <f>IFERROR(__xludf.DUMMYFUNCTION("IFERROR(MAX(FILTER(Notas_Finales!$D:$D, Notas_Finales!$A:$A = $B25, VALUE(Notas_Finales!$B:$B) &amp; ""/"" &amp; Notas_Finales!$C:$C = Y$1)), ""x"")"),"x")</f>
        <v>x</v>
      </c>
      <c r="Z25" s="15" t="str">
        <f>IFERROR(__xludf.DUMMYFUNCTION("IFERROR(MAX(FILTER(Notas_Finales!$D:$D, Notas_Finales!$A:$A = $B25, VALUE(Notas_Finales!$B:$B) &amp; ""/"" &amp; Notas_Finales!$C:$C = Z$1)), ""x"")"),"x")</f>
        <v>x</v>
      </c>
      <c r="AA25" s="15" t="str">
        <f>IFERROR(__xludf.DUMMYFUNCTION("IFERROR(MAX(FILTER(Notas_Finales!$D:$D, Notas_Finales!$A:$A = $B25, VALUE(Notas_Finales!$B:$B) &amp; ""/"" &amp; Notas_Finales!$C:$C = AA$1)), ""x"")"),"x")</f>
        <v>x</v>
      </c>
    </row>
    <row r="26">
      <c r="A26" s="12">
        <v>25.0</v>
      </c>
      <c r="B26" s="12" t="str">
        <f>IFERROR(__xludf.DUMMYFUNCTION("""COMPUTED_VALUE"""),"LLENOLIO, Claudio")</f>
        <v>LLENOLIO, Claudio</v>
      </c>
      <c r="C26" s="15">
        <f>IFERROR(__xludf.DUMMYFUNCTION("IFERROR(MAX(FILTER(Notas_Finales!$D:$D, Notas_Finales!$A:$A = $B26, VALUE(Notas_Finales!$B:$B) &amp; ""/"" &amp; Notas_Finales!$C:$C = C$1)), ""x"")"),10.0)</f>
        <v>10</v>
      </c>
      <c r="D26" s="15">
        <f>IFERROR(__xludf.DUMMYFUNCTION("IFERROR(MAX(FILTER(Notas_Finales!$D:$D, Notas_Finales!$A:$A = $B26, VALUE(Notas_Finales!$B:$B) &amp; ""/"" &amp; Notas_Finales!$C:$C = D$1)), ""x"")"),1.0)</f>
        <v>1</v>
      </c>
      <c r="E26" s="15" t="str">
        <f>IFERROR(__xludf.DUMMYFUNCTION("IFERROR(MAX(FILTER(Notas_Finales!$D:$D, Notas_Finales!$A:$A = $B26, VALUE(Notas_Finales!$B:$B) &amp; ""/"" &amp; Notas_Finales!$C:$C = E$1)), ""x"")"),"x")</f>
        <v>x</v>
      </c>
      <c r="F26" s="15" t="str">
        <f>IFERROR(__xludf.DUMMYFUNCTION("IFERROR(MAX(FILTER(Notas_Finales!$D:$D, Notas_Finales!$A:$A = $B26, VALUE(Notas_Finales!$B:$B) &amp; ""/"" &amp; Notas_Finales!$C:$C = F$1)), ""x"")"),"x")</f>
        <v>x</v>
      </c>
      <c r="G26" s="15" t="str">
        <f>IFERROR(__xludf.DUMMYFUNCTION("IFERROR(MAX(FILTER(Notas_Finales!$D:$D, Notas_Finales!$A:$A = $B26, VALUE(Notas_Finales!$B:$B) &amp; ""/"" &amp; Notas_Finales!$C:$C = G$1)), ""x"")"),"x")</f>
        <v>x</v>
      </c>
      <c r="H26" s="15" t="str">
        <f>IFERROR(__xludf.DUMMYFUNCTION("IFERROR(MAX(FILTER(Notas_Finales!$D:$D, Notas_Finales!$A:$A = $B26, VALUE(Notas_Finales!$B:$B) &amp; ""/"" &amp; Notas_Finales!$C:$C = H$1)), ""x"")"),"x")</f>
        <v>x</v>
      </c>
      <c r="I26" s="15" t="str">
        <f>IFERROR(__xludf.DUMMYFUNCTION("IFERROR(MAX(FILTER(Notas_Finales!$D:$D, Notas_Finales!$A:$A = $B26, VALUE(Notas_Finales!$B:$B) &amp; ""/"" &amp; Notas_Finales!$C:$C = I$1)), ""x"")"),"x")</f>
        <v>x</v>
      </c>
      <c r="J26" s="15" t="str">
        <f>IFERROR(__xludf.DUMMYFUNCTION("IFERROR(MAX(FILTER(Notas_Finales!$D:$D, Notas_Finales!$A:$A = $B26, VALUE(Notas_Finales!$B:$B) &amp; ""/"" &amp; Notas_Finales!$C:$C = J$1)), ""x"")"),"x")</f>
        <v>x</v>
      </c>
      <c r="K26" s="15" t="str">
        <f>IFERROR(__xludf.DUMMYFUNCTION("IFERROR(MAX(FILTER(Notas_Finales!$D:$D, Notas_Finales!$A:$A = $B26, VALUE(Notas_Finales!$B:$B) &amp; ""/"" &amp; Notas_Finales!$C:$C = K$1)), ""x"")"),"x")</f>
        <v>x</v>
      </c>
      <c r="L26" s="15">
        <f>IFERROR(__xludf.DUMMYFUNCTION("IFERROR(MAX(FILTER(Notas_Finales!$D:$D, Notas_Finales!$A:$A = $B26, VALUE(Notas_Finales!$B:$B) &amp; ""/"" &amp; Notas_Finales!$C:$C = L$1)), ""x"")"),1.0)</f>
        <v>1</v>
      </c>
      <c r="M26" s="15" t="str">
        <f>IFERROR(__xludf.DUMMYFUNCTION("IFERROR(MAX(FILTER(Notas_Finales!$D:$D, Notas_Finales!$A:$A = $B26, VALUE(Notas_Finales!$B:$B) &amp; ""/"" &amp; Notas_Finales!$C:$C = M$1)), ""x"")"),"x")</f>
        <v>x</v>
      </c>
      <c r="N26" s="15" t="str">
        <f>IFERROR(__xludf.DUMMYFUNCTION("IFERROR(MAX(FILTER(Notas_Finales!$D:$D, Notas_Finales!$A:$A = $B26, VALUE(Notas_Finales!$B:$B) &amp; ""/"" &amp; Notas_Finales!$C:$C = N$1)), ""x"")"),"x")</f>
        <v>x</v>
      </c>
      <c r="O26" s="15" t="str">
        <f>IFERROR(__xludf.DUMMYFUNCTION("IFERROR(MAX(FILTER(Notas_Finales!$D:$D, Notas_Finales!$A:$A = $B26, VALUE(Notas_Finales!$B:$B) &amp; ""/"" &amp; Notas_Finales!$C:$C = O$1)), ""x"")"),"x")</f>
        <v>x</v>
      </c>
      <c r="P26" s="15" t="str">
        <f>IFERROR(__xludf.DUMMYFUNCTION("IFERROR(MAX(FILTER(Notas_Finales!$D:$D, Notas_Finales!$A:$A = $B26, VALUE(Notas_Finales!$B:$B) &amp; ""/"" &amp; Notas_Finales!$C:$C = P$1)), ""x"")"),"x")</f>
        <v>x</v>
      </c>
      <c r="Q26" s="15" t="str">
        <f>IFERROR(__xludf.DUMMYFUNCTION("IFERROR(MAX(FILTER(Notas_Finales!$D:$D, Notas_Finales!$A:$A = $B26, VALUE(Notas_Finales!$B:$B) &amp; ""/"" &amp; Notas_Finales!$C:$C = Q$1)), ""x"")"),"x")</f>
        <v>x</v>
      </c>
      <c r="V26" s="15" t="str">
        <f>IFERROR(__xludf.DUMMYFUNCTION("IFERROR(MAX(FILTER(Notas_Finales!$D:$D, Notas_Finales!$A:$A = $B26, VALUE(Notas_Finales!$B:$B) &amp; ""/"" &amp; Notas_Finales!$C:$C = V$1)), ""x"")"),"x")</f>
        <v>x</v>
      </c>
      <c r="W26" s="15" t="str">
        <f>IFERROR(__xludf.DUMMYFUNCTION("IFERROR(MAX(FILTER(Notas_Finales!$D:$D, Notas_Finales!$A:$A = $B26, VALUE(Notas_Finales!$B:$B) &amp; ""/"" &amp; Notas_Finales!$C:$C = W$1)), ""x"")"),"x")</f>
        <v>x</v>
      </c>
      <c r="X26" s="15" t="str">
        <f>IFERROR(__xludf.DUMMYFUNCTION("IFERROR(MAX(FILTER(Notas_Finales!$D:$D, Notas_Finales!$A:$A = $B26, VALUE(Notas_Finales!$B:$B) &amp; ""/"" &amp; Notas_Finales!$C:$C = X$1)), ""x"")"),"x")</f>
        <v>x</v>
      </c>
      <c r="Y26" s="15" t="str">
        <f>IFERROR(__xludf.DUMMYFUNCTION("IFERROR(MAX(FILTER(Notas_Finales!$D:$D, Notas_Finales!$A:$A = $B26, VALUE(Notas_Finales!$B:$B) &amp; ""/"" &amp; Notas_Finales!$C:$C = Y$1)), ""x"")"),"x")</f>
        <v>x</v>
      </c>
      <c r="Z26" s="15" t="str">
        <f>IFERROR(__xludf.DUMMYFUNCTION("IFERROR(MAX(FILTER(Notas_Finales!$D:$D, Notas_Finales!$A:$A = $B26, VALUE(Notas_Finales!$B:$B) &amp; ""/"" &amp; Notas_Finales!$C:$C = Z$1)), ""x"")"),"x")</f>
        <v>x</v>
      </c>
      <c r="AA26" s="15" t="str">
        <f>IFERROR(__xludf.DUMMYFUNCTION("IFERROR(MAX(FILTER(Notas_Finales!$D:$D, Notas_Finales!$A:$A = $B26, VALUE(Notas_Finales!$B:$B) &amp; ""/"" &amp; Notas_Finales!$C:$C = AA$1)), ""x"")"),"x")</f>
        <v>x</v>
      </c>
    </row>
    <row r="27">
      <c r="B27" s="12"/>
      <c r="C27" s="15" t="str">
        <f>IFERROR(__xludf.DUMMYFUNCTION("IFERROR(MAX(FILTER(Notas_Finales!$D:$D, Notas_Finales!$A:$A = $B27, VALUE(Notas_Finales!$B:$B) &amp; ""/"" &amp; Notas_Finales!$C:$C = C$1)), ""x"")"),"x")</f>
        <v>x</v>
      </c>
      <c r="D27" s="15" t="str">
        <f>IFERROR(__xludf.DUMMYFUNCTION("IFERROR(MAX(FILTER(Notas_Finales!$D:$D, Notas_Finales!$A:$A = $B27, VALUE(Notas_Finales!$B:$B) &amp; ""/"" &amp; Notas_Finales!$C:$C = D$1)), ""x"")"),"x")</f>
        <v>x</v>
      </c>
      <c r="E27" s="15" t="str">
        <f>IFERROR(__xludf.DUMMYFUNCTION("IFERROR(MAX(FILTER(Notas_Finales!$D:$D, Notas_Finales!$A:$A = $B27, VALUE(Notas_Finales!$B:$B) &amp; ""/"" &amp; Notas_Finales!$C:$C = E$1)), ""x"")"),"x")</f>
        <v>x</v>
      </c>
      <c r="F27" s="15" t="str">
        <f>IFERROR(__xludf.DUMMYFUNCTION("IFERROR(MAX(FILTER(Notas_Finales!$D:$D, Notas_Finales!$A:$A = $B27, VALUE(Notas_Finales!$B:$B) &amp; ""/"" &amp; Notas_Finales!$C:$C = F$1)), ""x"")"),"x")</f>
        <v>x</v>
      </c>
      <c r="G27" s="15" t="str">
        <f>IFERROR(__xludf.DUMMYFUNCTION("IFERROR(MAX(FILTER(Notas_Finales!$D:$D, Notas_Finales!$A:$A = $B27, VALUE(Notas_Finales!$B:$B) &amp; ""/"" &amp; Notas_Finales!$C:$C = G$1)), ""x"")"),"x")</f>
        <v>x</v>
      </c>
      <c r="H27" s="15" t="str">
        <f>IFERROR(__xludf.DUMMYFUNCTION("IFERROR(MAX(FILTER(Notas_Finales!$D:$D, Notas_Finales!$A:$A = $B27, VALUE(Notas_Finales!$B:$B) &amp; ""/"" &amp; Notas_Finales!$C:$C = H$1)), ""x"")"),"x")</f>
        <v>x</v>
      </c>
      <c r="I27" s="15" t="str">
        <f>IFERROR(__xludf.DUMMYFUNCTION("IFERROR(MAX(FILTER(Notas_Finales!$D:$D, Notas_Finales!$A:$A = $B27, VALUE(Notas_Finales!$B:$B) &amp; ""/"" &amp; Notas_Finales!$C:$C = I$1)), ""x"")"),"x")</f>
        <v>x</v>
      </c>
      <c r="J27" s="15" t="str">
        <f>IFERROR(__xludf.DUMMYFUNCTION("IFERROR(MAX(FILTER(Notas_Finales!$D:$D, Notas_Finales!$A:$A = $B27, VALUE(Notas_Finales!$B:$B) &amp; ""/"" &amp; Notas_Finales!$C:$C = J$1)), ""x"")"),"x")</f>
        <v>x</v>
      </c>
      <c r="K27" s="15" t="str">
        <f>IFERROR(__xludf.DUMMYFUNCTION("IFERROR(MAX(FILTER(Notas_Finales!$D:$D, Notas_Finales!$A:$A = $B27, VALUE(Notas_Finales!$B:$B) &amp; ""/"" &amp; Notas_Finales!$C:$C = K$1)), ""x"")"),"x")</f>
        <v>x</v>
      </c>
      <c r="L27" s="15" t="str">
        <f>IFERROR(__xludf.DUMMYFUNCTION("IFERROR(MAX(FILTER(Notas_Finales!$D:$D, Notas_Finales!$A:$A = $B27, VALUE(Notas_Finales!$B:$B) &amp; ""/"" &amp; Notas_Finales!$C:$C = L$1)), ""x"")"),"x")</f>
        <v>x</v>
      </c>
      <c r="M27" s="15" t="str">
        <f>IFERROR(__xludf.DUMMYFUNCTION("IFERROR(MAX(FILTER(Notas_Finales!$D:$D, Notas_Finales!$A:$A = $B27, VALUE(Notas_Finales!$B:$B) &amp; ""/"" &amp; Notas_Finales!$C:$C = M$1)), ""x"")"),"x")</f>
        <v>x</v>
      </c>
      <c r="N27" s="15" t="str">
        <f>IFERROR(__xludf.DUMMYFUNCTION("IFERROR(MAX(FILTER(Notas_Finales!$D:$D, Notas_Finales!$A:$A = $B27, VALUE(Notas_Finales!$B:$B) &amp; ""/"" &amp; Notas_Finales!$C:$C = N$1)), ""x"")"),"x")</f>
        <v>x</v>
      </c>
      <c r="O27" s="15" t="str">
        <f>IFERROR(__xludf.DUMMYFUNCTION("IFERROR(MAX(FILTER(Notas_Finales!$D:$D, Notas_Finales!$A:$A = $B27, VALUE(Notas_Finales!$B:$B) &amp; ""/"" &amp; Notas_Finales!$C:$C = O$1)), ""x"")"),"x")</f>
        <v>x</v>
      </c>
      <c r="P27" s="15" t="str">
        <f>IFERROR(__xludf.DUMMYFUNCTION("IFERROR(MAX(FILTER(Notas_Finales!$D:$D, Notas_Finales!$A:$A = $B27, VALUE(Notas_Finales!$B:$B) &amp; ""/"" &amp; Notas_Finales!$C:$C = P$1)), ""x"")"),"x")</f>
        <v>x</v>
      </c>
      <c r="Q27" s="15" t="str">
        <f>IFERROR(__xludf.DUMMYFUNCTION("IFERROR(MAX(FILTER(Notas_Finales!$D:$D, Notas_Finales!$A:$A = $B27, VALUE(Notas_Finales!$B:$B) &amp; ""/"" &amp; Notas_Finales!$C:$C = Q$1)), ""x"")"),"x")</f>
        <v>x</v>
      </c>
    </row>
    <row r="28">
      <c r="B28" s="12"/>
      <c r="C28" s="15" t="str">
        <f>IFERROR(__xludf.DUMMYFUNCTION("IFERROR(MAX(FILTER(Notas_Finales!$D:$D, Notas_Finales!$A:$A = $B28, VALUE(Notas_Finales!$B:$B) &amp; ""/"" &amp; Notas_Finales!$C:$C = C$1)), ""x"")"),"x")</f>
        <v>x</v>
      </c>
      <c r="D28" s="15" t="str">
        <f>IFERROR(__xludf.DUMMYFUNCTION("IFERROR(MAX(FILTER(Notas_Finales!$D:$D, Notas_Finales!$A:$A = $B28, VALUE(Notas_Finales!$B:$B) &amp; ""/"" &amp; Notas_Finales!$C:$C = D$1)), ""x"")"),"x")</f>
        <v>x</v>
      </c>
      <c r="E28" s="15" t="str">
        <f>IFERROR(__xludf.DUMMYFUNCTION("IFERROR(MAX(FILTER(Notas_Finales!$D:$D, Notas_Finales!$A:$A = $B28, VALUE(Notas_Finales!$B:$B) &amp; ""/"" &amp; Notas_Finales!$C:$C = E$1)), ""x"")"),"x")</f>
        <v>x</v>
      </c>
      <c r="F28" s="15" t="str">
        <f>IFERROR(__xludf.DUMMYFUNCTION("IFERROR(MAX(FILTER(Notas_Finales!$D:$D, Notas_Finales!$A:$A = $B28, VALUE(Notas_Finales!$B:$B) &amp; ""/"" &amp; Notas_Finales!$C:$C = F$1)), ""x"")"),"x")</f>
        <v>x</v>
      </c>
      <c r="G28" s="15" t="str">
        <f>IFERROR(__xludf.DUMMYFUNCTION("IFERROR(MAX(FILTER(Notas_Finales!$D:$D, Notas_Finales!$A:$A = $B28, VALUE(Notas_Finales!$B:$B) &amp; ""/"" &amp; Notas_Finales!$C:$C = G$1)), ""x"")"),"x")</f>
        <v>x</v>
      </c>
      <c r="H28" s="15" t="str">
        <f>IFERROR(__xludf.DUMMYFUNCTION("IFERROR(MAX(FILTER(Notas_Finales!$D:$D, Notas_Finales!$A:$A = $B28, VALUE(Notas_Finales!$B:$B) &amp; ""/"" &amp; Notas_Finales!$C:$C = H$1)), ""x"")"),"x")</f>
        <v>x</v>
      </c>
      <c r="I28" s="15" t="str">
        <f>IFERROR(__xludf.DUMMYFUNCTION("IFERROR(MAX(FILTER(Notas_Finales!$D:$D, Notas_Finales!$A:$A = $B28, VALUE(Notas_Finales!$B:$B) &amp; ""/"" &amp; Notas_Finales!$C:$C = I$1)), ""x"")"),"x")</f>
        <v>x</v>
      </c>
      <c r="J28" s="15" t="str">
        <f>IFERROR(__xludf.DUMMYFUNCTION("IFERROR(MAX(FILTER(Notas_Finales!$D:$D, Notas_Finales!$A:$A = $B28, VALUE(Notas_Finales!$B:$B) &amp; ""/"" &amp; Notas_Finales!$C:$C = J$1)), ""x"")"),"x")</f>
        <v>x</v>
      </c>
      <c r="K28" s="15" t="str">
        <f>IFERROR(__xludf.DUMMYFUNCTION("IFERROR(MAX(FILTER(Notas_Finales!$D:$D, Notas_Finales!$A:$A = $B28, VALUE(Notas_Finales!$B:$B) &amp; ""/"" &amp; Notas_Finales!$C:$C = K$1)), ""x"")"),"x")</f>
        <v>x</v>
      </c>
      <c r="L28" s="15" t="str">
        <f>IFERROR(__xludf.DUMMYFUNCTION("IFERROR(MAX(FILTER(Notas_Finales!$D:$D, Notas_Finales!$A:$A = $B28, VALUE(Notas_Finales!$B:$B) &amp; ""/"" &amp; Notas_Finales!$C:$C = L$1)), ""x"")"),"x")</f>
        <v>x</v>
      </c>
      <c r="M28" s="15" t="str">
        <f>IFERROR(__xludf.DUMMYFUNCTION("IFERROR(MAX(FILTER(Notas_Finales!$D:$D, Notas_Finales!$A:$A = $B28, VALUE(Notas_Finales!$B:$B) &amp; ""/"" &amp; Notas_Finales!$C:$C = M$1)), ""x"")"),"x")</f>
        <v>x</v>
      </c>
      <c r="N28" s="15" t="str">
        <f>IFERROR(__xludf.DUMMYFUNCTION("IFERROR(MAX(FILTER(Notas_Finales!$D:$D, Notas_Finales!$A:$A = $B28, VALUE(Notas_Finales!$B:$B) &amp; ""/"" &amp; Notas_Finales!$C:$C = N$1)), ""x"")"),"x")</f>
        <v>x</v>
      </c>
      <c r="O28" s="15" t="str">
        <f>IFERROR(__xludf.DUMMYFUNCTION("IFERROR(MAX(FILTER(Notas_Finales!$D:$D, Notas_Finales!$A:$A = $B28, VALUE(Notas_Finales!$B:$B) &amp; ""/"" &amp; Notas_Finales!$C:$C = O$1)), ""x"")"),"x")</f>
        <v>x</v>
      </c>
      <c r="P28" s="15" t="str">
        <f>IFERROR(__xludf.DUMMYFUNCTION("IFERROR(MAX(FILTER(Notas_Finales!$D:$D, Notas_Finales!$A:$A = $B28, VALUE(Notas_Finales!$B:$B) &amp; ""/"" &amp; Notas_Finales!$C:$C = P$1)), ""x"")"),"x")</f>
        <v>x</v>
      </c>
      <c r="Q28" s="15" t="str">
        <f>IFERROR(__xludf.DUMMYFUNCTION("IFERROR(MAX(FILTER(Notas_Finales!$D:$D, Notas_Finales!$A:$A = $B28, VALUE(Notas_Finales!$B:$B) &amp; ""/"" &amp; Notas_Finales!$C:$C = Q$1)), ""x"")"),"x")</f>
        <v>x</v>
      </c>
    </row>
    <row r="29">
      <c r="B29" s="12"/>
      <c r="C29" s="15" t="str">
        <f>IFERROR(__xludf.DUMMYFUNCTION("IFERROR(MAX(FILTER(Notas_Finales!$D:$D, Notas_Finales!$A:$A = $B29, VALUE(Notas_Finales!$B:$B) &amp; ""/"" &amp; Notas_Finales!$C:$C = C$1)), ""x"")"),"x")</f>
        <v>x</v>
      </c>
      <c r="D29" s="15" t="str">
        <f>IFERROR(__xludf.DUMMYFUNCTION("IFERROR(MAX(FILTER(Notas_Finales!$D:$D, Notas_Finales!$A:$A = $B29, VALUE(Notas_Finales!$B:$B) &amp; ""/"" &amp; Notas_Finales!$C:$C = D$1)), ""x"")"),"x")</f>
        <v>x</v>
      </c>
      <c r="E29" s="15" t="str">
        <f>IFERROR(__xludf.DUMMYFUNCTION("IFERROR(MAX(FILTER(Notas_Finales!$D:$D, Notas_Finales!$A:$A = $B29, VALUE(Notas_Finales!$B:$B) &amp; ""/"" &amp; Notas_Finales!$C:$C = E$1)), ""x"")"),"x")</f>
        <v>x</v>
      </c>
      <c r="F29" s="15" t="str">
        <f>IFERROR(__xludf.DUMMYFUNCTION("IFERROR(MAX(FILTER(Notas_Finales!$D:$D, Notas_Finales!$A:$A = $B29, VALUE(Notas_Finales!$B:$B) &amp; ""/"" &amp; Notas_Finales!$C:$C = F$1)), ""x"")"),"x")</f>
        <v>x</v>
      </c>
      <c r="G29" s="15" t="str">
        <f>IFERROR(__xludf.DUMMYFUNCTION("IFERROR(MAX(FILTER(Notas_Finales!$D:$D, Notas_Finales!$A:$A = $B29, VALUE(Notas_Finales!$B:$B) &amp; ""/"" &amp; Notas_Finales!$C:$C = G$1)), ""x"")"),"x")</f>
        <v>x</v>
      </c>
      <c r="H29" s="15" t="str">
        <f>IFERROR(__xludf.DUMMYFUNCTION("IFERROR(MAX(FILTER(Notas_Finales!$D:$D, Notas_Finales!$A:$A = $B29, VALUE(Notas_Finales!$B:$B) &amp; ""/"" &amp; Notas_Finales!$C:$C = H$1)), ""x"")"),"x")</f>
        <v>x</v>
      </c>
      <c r="I29" s="15" t="str">
        <f>IFERROR(__xludf.DUMMYFUNCTION("IFERROR(MAX(FILTER(Notas_Finales!$D:$D, Notas_Finales!$A:$A = $B29, VALUE(Notas_Finales!$B:$B) &amp; ""/"" &amp; Notas_Finales!$C:$C = I$1)), ""x"")"),"x")</f>
        <v>x</v>
      </c>
      <c r="J29" s="15" t="str">
        <f>IFERROR(__xludf.DUMMYFUNCTION("IFERROR(MAX(FILTER(Notas_Finales!$D:$D, Notas_Finales!$A:$A = $B29, VALUE(Notas_Finales!$B:$B) &amp; ""/"" &amp; Notas_Finales!$C:$C = J$1)), ""x"")"),"x")</f>
        <v>x</v>
      </c>
      <c r="K29" s="15" t="str">
        <f>IFERROR(__xludf.DUMMYFUNCTION("IFERROR(MAX(FILTER(Notas_Finales!$D:$D, Notas_Finales!$A:$A = $B29, VALUE(Notas_Finales!$B:$B) &amp; ""/"" &amp; Notas_Finales!$C:$C = K$1)), ""x"")"),"x")</f>
        <v>x</v>
      </c>
      <c r="L29" s="15" t="str">
        <f>IFERROR(__xludf.DUMMYFUNCTION("IFERROR(MAX(FILTER(Notas_Finales!$D:$D, Notas_Finales!$A:$A = $B29, VALUE(Notas_Finales!$B:$B) &amp; ""/"" &amp; Notas_Finales!$C:$C = L$1)), ""x"")"),"x")</f>
        <v>x</v>
      </c>
      <c r="M29" s="15" t="str">
        <f>IFERROR(__xludf.DUMMYFUNCTION("IFERROR(MAX(FILTER(Notas_Finales!$D:$D, Notas_Finales!$A:$A = $B29, VALUE(Notas_Finales!$B:$B) &amp; ""/"" &amp; Notas_Finales!$C:$C = M$1)), ""x"")"),"x")</f>
        <v>x</v>
      </c>
      <c r="N29" s="15" t="str">
        <f>IFERROR(__xludf.DUMMYFUNCTION("IFERROR(MAX(FILTER(Notas_Finales!$D:$D, Notas_Finales!$A:$A = $B29, VALUE(Notas_Finales!$B:$B) &amp; ""/"" &amp; Notas_Finales!$C:$C = N$1)), ""x"")"),"x")</f>
        <v>x</v>
      </c>
      <c r="O29" s="15" t="str">
        <f>IFERROR(__xludf.DUMMYFUNCTION("IFERROR(MAX(FILTER(Notas_Finales!$D:$D, Notas_Finales!$A:$A = $B29, VALUE(Notas_Finales!$B:$B) &amp; ""/"" &amp; Notas_Finales!$C:$C = O$1)), ""x"")"),"x")</f>
        <v>x</v>
      </c>
      <c r="P29" s="15" t="str">
        <f>IFERROR(__xludf.DUMMYFUNCTION("IFERROR(MAX(FILTER(Notas_Finales!$D:$D, Notas_Finales!$A:$A = $B29, VALUE(Notas_Finales!$B:$B) &amp; ""/"" &amp; Notas_Finales!$C:$C = P$1)), ""x"")"),"x")</f>
        <v>x</v>
      </c>
      <c r="Q29" s="15" t="str">
        <f>IFERROR(__xludf.DUMMYFUNCTION("IFERROR(MAX(FILTER(Notas_Finales!$D:$D, Notas_Finales!$A:$A = $B29, VALUE(Notas_Finales!$B:$B) &amp; ""/"" &amp; Notas_Finales!$C:$C = Q$1)), ""x"")"),"x")</f>
        <v>x</v>
      </c>
    </row>
    <row r="30">
      <c r="B30" s="12"/>
      <c r="C30" s="15" t="str">
        <f>IFERROR(__xludf.DUMMYFUNCTION("IFERROR(MAX(FILTER(Notas_Finales!$D:$D, Notas_Finales!$A:$A = $B30, VALUE(Notas_Finales!$B:$B) &amp; ""/"" &amp; Notas_Finales!$C:$C = C$1)), ""x"")"),"x")</f>
        <v>x</v>
      </c>
      <c r="D30" s="15" t="str">
        <f>IFERROR(__xludf.DUMMYFUNCTION("IFERROR(MAX(FILTER(Notas_Finales!$D:$D, Notas_Finales!$A:$A = $B30, VALUE(Notas_Finales!$B:$B) &amp; ""/"" &amp; Notas_Finales!$C:$C = D$1)), ""x"")"),"x")</f>
        <v>x</v>
      </c>
      <c r="E30" s="15" t="str">
        <f>IFERROR(__xludf.DUMMYFUNCTION("IFERROR(MAX(FILTER(Notas_Finales!$D:$D, Notas_Finales!$A:$A = $B30, VALUE(Notas_Finales!$B:$B) &amp; ""/"" &amp; Notas_Finales!$C:$C = E$1)), ""x"")"),"x")</f>
        <v>x</v>
      </c>
      <c r="F30" s="15" t="str">
        <f>IFERROR(__xludf.DUMMYFUNCTION("IFERROR(MAX(FILTER(Notas_Finales!$D:$D, Notas_Finales!$A:$A = $B30, VALUE(Notas_Finales!$B:$B) &amp; ""/"" &amp; Notas_Finales!$C:$C = F$1)), ""x"")"),"x")</f>
        <v>x</v>
      </c>
      <c r="G30" s="15" t="str">
        <f>IFERROR(__xludf.DUMMYFUNCTION("IFERROR(MAX(FILTER(Notas_Finales!$D:$D, Notas_Finales!$A:$A = $B30, VALUE(Notas_Finales!$B:$B) &amp; ""/"" &amp; Notas_Finales!$C:$C = G$1)), ""x"")"),"x")</f>
        <v>x</v>
      </c>
      <c r="H30" s="15" t="str">
        <f>IFERROR(__xludf.DUMMYFUNCTION("IFERROR(MAX(FILTER(Notas_Finales!$D:$D, Notas_Finales!$A:$A = $B30, VALUE(Notas_Finales!$B:$B) &amp; ""/"" &amp; Notas_Finales!$C:$C = H$1)), ""x"")"),"x")</f>
        <v>x</v>
      </c>
      <c r="I30" s="15" t="str">
        <f>IFERROR(__xludf.DUMMYFUNCTION("IFERROR(MAX(FILTER(Notas_Finales!$D:$D, Notas_Finales!$A:$A = $B30, VALUE(Notas_Finales!$B:$B) &amp; ""/"" &amp; Notas_Finales!$C:$C = I$1)), ""x"")"),"x")</f>
        <v>x</v>
      </c>
      <c r="J30" s="15" t="str">
        <f>IFERROR(__xludf.DUMMYFUNCTION("IFERROR(MAX(FILTER(Notas_Finales!$D:$D, Notas_Finales!$A:$A = $B30, VALUE(Notas_Finales!$B:$B) &amp; ""/"" &amp; Notas_Finales!$C:$C = J$1)), ""x"")"),"x")</f>
        <v>x</v>
      </c>
      <c r="K30" s="15" t="str">
        <f>IFERROR(__xludf.DUMMYFUNCTION("IFERROR(MAX(FILTER(Notas_Finales!$D:$D, Notas_Finales!$A:$A = $B30, VALUE(Notas_Finales!$B:$B) &amp; ""/"" &amp; Notas_Finales!$C:$C = K$1)), ""x"")"),"x")</f>
        <v>x</v>
      </c>
      <c r="L30" s="15" t="str">
        <f>IFERROR(__xludf.DUMMYFUNCTION("IFERROR(MAX(FILTER(Notas_Finales!$D:$D, Notas_Finales!$A:$A = $B30, VALUE(Notas_Finales!$B:$B) &amp; ""/"" &amp; Notas_Finales!$C:$C = L$1)), ""x"")"),"x")</f>
        <v>x</v>
      </c>
      <c r="M30" s="15" t="str">
        <f>IFERROR(__xludf.DUMMYFUNCTION("IFERROR(MAX(FILTER(Notas_Finales!$D:$D, Notas_Finales!$A:$A = $B30, VALUE(Notas_Finales!$B:$B) &amp; ""/"" &amp; Notas_Finales!$C:$C = M$1)), ""x"")"),"x")</f>
        <v>x</v>
      </c>
      <c r="N30" s="15" t="str">
        <f>IFERROR(__xludf.DUMMYFUNCTION("IFERROR(MAX(FILTER(Notas_Finales!$D:$D, Notas_Finales!$A:$A = $B30, VALUE(Notas_Finales!$B:$B) &amp; ""/"" &amp; Notas_Finales!$C:$C = N$1)), ""x"")"),"x")</f>
        <v>x</v>
      </c>
      <c r="O30" s="15" t="str">
        <f>IFERROR(__xludf.DUMMYFUNCTION("IFERROR(MAX(FILTER(Notas_Finales!$D:$D, Notas_Finales!$A:$A = $B30, VALUE(Notas_Finales!$B:$B) &amp; ""/"" &amp; Notas_Finales!$C:$C = O$1)), ""x"")"),"x")</f>
        <v>x</v>
      </c>
      <c r="P30" s="15" t="str">
        <f>IFERROR(__xludf.DUMMYFUNCTION("IFERROR(MAX(FILTER(Notas_Finales!$D:$D, Notas_Finales!$A:$A = $B30, VALUE(Notas_Finales!$B:$B) &amp; ""/"" &amp; Notas_Finales!$C:$C = P$1)), ""x"")"),"x")</f>
        <v>x</v>
      </c>
      <c r="Q30" s="15" t="str">
        <f>IFERROR(__xludf.DUMMYFUNCTION("IFERROR(MAX(FILTER(Notas_Finales!$D:$D, Notas_Finales!$A:$A = $B30, VALUE(Notas_Finales!$B:$B) &amp; ""/"" &amp; Notas_Finales!$C:$C = Q$1)), ""x"")"),"x")</f>
        <v>x</v>
      </c>
    </row>
    <row r="31">
      <c r="B31" s="12"/>
      <c r="C31" s="15" t="str">
        <f>IFERROR(__xludf.DUMMYFUNCTION("IFERROR(MAX(FILTER(Notas_Finales!$D:$D, Notas_Finales!$A:$A = $B31, VALUE(Notas_Finales!$B:$B) &amp; ""/"" &amp; Notas_Finales!$C:$C = C$1)), ""x"")"),"x")</f>
        <v>x</v>
      </c>
      <c r="D31" s="15" t="str">
        <f>IFERROR(__xludf.DUMMYFUNCTION("IFERROR(MAX(FILTER(Notas_Finales!$D:$D, Notas_Finales!$A:$A = $B31, VALUE(Notas_Finales!$B:$B) &amp; ""/"" &amp; Notas_Finales!$C:$C = D$1)), ""x"")"),"x")</f>
        <v>x</v>
      </c>
      <c r="E31" s="15" t="str">
        <f>IFERROR(__xludf.DUMMYFUNCTION("IFERROR(MAX(FILTER(Notas_Finales!$D:$D, Notas_Finales!$A:$A = $B31, VALUE(Notas_Finales!$B:$B) &amp; ""/"" &amp; Notas_Finales!$C:$C = E$1)), ""x"")"),"x")</f>
        <v>x</v>
      </c>
      <c r="F31" s="15" t="str">
        <f>IFERROR(__xludf.DUMMYFUNCTION("IFERROR(MAX(FILTER(Notas_Finales!$D:$D, Notas_Finales!$A:$A = $B31, VALUE(Notas_Finales!$B:$B) &amp; ""/"" &amp; Notas_Finales!$C:$C = F$1)), ""x"")"),"x")</f>
        <v>x</v>
      </c>
      <c r="G31" s="15" t="str">
        <f>IFERROR(__xludf.DUMMYFUNCTION("IFERROR(MAX(FILTER(Notas_Finales!$D:$D, Notas_Finales!$A:$A = $B31, VALUE(Notas_Finales!$B:$B) &amp; ""/"" &amp; Notas_Finales!$C:$C = G$1)), ""x"")"),"x")</f>
        <v>x</v>
      </c>
      <c r="H31" s="15" t="str">
        <f>IFERROR(__xludf.DUMMYFUNCTION("IFERROR(MAX(FILTER(Notas_Finales!$D:$D, Notas_Finales!$A:$A = $B31, VALUE(Notas_Finales!$B:$B) &amp; ""/"" &amp; Notas_Finales!$C:$C = H$1)), ""x"")"),"x")</f>
        <v>x</v>
      </c>
      <c r="I31" s="15" t="str">
        <f>IFERROR(__xludf.DUMMYFUNCTION("IFERROR(MAX(FILTER(Notas_Finales!$D:$D, Notas_Finales!$A:$A = $B31, VALUE(Notas_Finales!$B:$B) &amp; ""/"" &amp; Notas_Finales!$C:$C = I$1)), ""x"")"),"x")</f>
        <v>x</v>
      </c>
      <c r="J31" s="15" t="str">
        <f>IFERROR(__xludf.DUMMYFUNCTION("IFERROR(MAX(FILTER(Notas_Finales!$D:$D, Notas_Finales!$A:$A = $B31, VALUE(Notas_Finales!$B:$B) &amp; ""/"" &amp; Notas_Finales!$C:$C = J$1)), ""x"")"),"x")</f>
        <v>x</v>
      </c>
      <c r="K31" s="15" t="str">
        <f>IFERROR(__xludf.DUMMYFUNCTION("IFERROR(MAX(FILTER(Notas_Finales!$D:$D, Notas_Finales!$A:$A = $B31, VALUE(Notas_Finales!$B:$B) &amp; ""/"" &amp; Notas_Finales!$C:$C = K$1)), ""x"")"),"x")</f>
        <v>x</v>
      </c>
      <c r="L31" s="15" t="str">
        <f>IFERROR(__xludf.DUMMYFUNCTION("IFERROR(MAX(FILTER(Notas_Finales!$D:$D, Notas_Finales!$A:$A = $B31, VALUE(Notas_Finales!$B:$B) &amp; ""/"" &amp; Notas_Finales!$C:$C = L$1)), ""x"")"),"x")</f>
        <v>x</v>
      </c>
      <c r="M31" s="15" t="str">
        <f>IFERROR(__xludf.DUMMYFUNCTION("IFERROR(MAX(FILTER(Notas_Finales!$D:$D, Notas_Finales!$A:$A = $B31, VALUE(Notas_Finales!$B:$B) &amp; ""/"" &amp; Notas_Finales!$C:$C = M$1)), ""x"")"),"x")</f>
        <v>x</v>
      </c>
      <c r="N31" s="15" t="str">
        <f>IFERROR(__xludf.DUMMYFUNCTION("IFERROR(MAX(FILTER(Notas_Finales!$D:$D, Notas_Finales!$A:$A = $B31, VALUE(Notas_Finales!$B:$B) &amp; ""/"" &amp; Notas_Finales!$C:$C = N$1)), ""x"")"),"x")</f>
        <v>x</v>
      </c>
      <c r="O31" s="15" t="str">
        <f>IFERROR(__xludf.DUMMYFUNCTION("IFERROR(MAX(FILTER(Notas_Finales!$D:$D, Notas_Finales!$A:$A = $B31, VALUE(Notas_Finales!$B:$B) &amp; ""/"" &amp; Notas_Finales!$C:$C = O$1)), ""x"")"),"x")</f>
        <v>x</v>
      </c>
      <c r="P31" s="15" t="str">
        <f>IFERROR(__xludf.DUMMYFUNCTION("IFERROR(MAX(FILTER(Notas_Finales!$D:$D, Notas_Finales!$A:$A = $B31, VALUE(Notas_Finales!$B:$B) &amp; ""/"" &amp; Notas_Finales!$C:$C = P$1)), ""x"")"),"x")</f>
        <v>x</v>
      </c>
      <c r="Q31" s="15" t="str">
        <f>IFERROR(__xludf.DUMMYFUNCTION("IFERROR(MAX(FILTER(Notas_Finales!$D:$D, Notas_Finales!$A:$A = $B31, VALUE(Notas_Finales!$B:$B) &amp; ""/"" &amp; Notas_Finales!$C:$C = Q$1)), ""x"")"),"x")</f>
        <v>x</v>
      </c>
    </row>
    <row r="32">
      <c r="B32" s="12"/>
      <c r="C32" s="15" t="str">
        <f>IFERROR(__xludf.DUMMYFUNCTION("IFERROR(MAX(FILTER(Notas_Finales!$D:$D, Notas_Finales!$A:$A = $B32, VALUE(Notas_Finales!$B:$B) &amp; ""/"" &amp; Notas_Finales!$C:$C = C$1)), ""x"")"),"x")</f>
        <v>x</v>
      </c>
      <c r="D32" s="15" t="str">
        <f>IFERROR(__xludf.DUMMYFUNCTION("IFERROR(MAX(FILTER(Notas_Finales!$D:$D, Notas_Finales!$A:$A = $B32, VALUE(Notas_Finales!$B:$B) &amp; ""/"" &amp; Notas_Finales!$C:$C = D$1)), ""x"")"),"x")</f>
        <v>x</v>
      </c>
      <c r="E32" s="15" t="str">
        <f>IFERROR(__xludf.DUMMYFUNCTION("IFERROR(MAX(FILTER(Notas_Finales!$D:$D, Notas_Finales!$A:$A = $B32, VALUE(Notas_Finales!$B:$B) &amp; ""/"" &amp; Notas_Finales!$C:$C = E$1)), ""x"")"),"x")</f>
        <v>x</v>
      </c>
      <c r="F32" s="15" t="str">
        <f>IFERROR(__xludf.DUMMYFUNCTION("IFERROR(MAX(FILTER(Notas_Finales!$D:$D, Notas_Finales!$A:$A = $B32, VALUE(Notas_Finales!$B:$B) &amp; ""/"" &amp; Notas_Finales!$C:$C = F$1)), ""x"")"),"x")</f>
        <v>x</v>
      </c>
      <c r="G32" s="15" t="str">
        <f>IFERROR(__xludf.DUMMYFUNCTION("IFERROR(MAX(FILTER(Notas_Finales!$D:$D, Notas_Finales!$A:$A = $B32, VALUE(Notas_Finales!$B:$B) &amp; ""/"" &amp; Notas_Finales!$C:$C = G$1)), ""x"")"),"x")</f>
        <v>x</v>
      </c>
      <c r="H32" s="15" t="str">
        <f>IFERROR(__xludf.DUMMYFUNCTION("IFERROR(MAX(FILTER(Notas_Finales!$D:$D, Notas_Finales!$A:$A = $B32, VALUE(Notas_Finales!$B:$B) &amp; ""/"" &amp; Notas_Finales!$C:$C = H$1)), ""x"")"),"x")</f>
        <v>x</v>
      </c>
      <c r="I32" s="15" t="str">
        <f>IFERROR(__xludf.DUMMYFUNCTION("IFERROR(MAX(FILTER(Notas_Finales!$D:$D, Notas_Finales!$A:$A = $B32, VALUE(Notas_Finales!$B:$B) &amp; ""/"" &amp; Notas_Finales!$C:$C = I$1)), ""x"")"),"x")</f>
        <v>x</v>
      </c>
      <c r="J32" s="15" t="str">
        <f>IFERROR(__xludf.DUMMYFUNCTION("IFERROR(MAX(FILTER(Notas_Finales!$D:$D, Notas_Finales!$A:$A = $B32, VALUE(Notas_Finales!$B:$B) &amp; ""/"" &amp; Notas_Finales!$C:$C = J$1)), ""x"")"),"x")</f>
        <v>x</v>
      </c>
      <c r="K32" s="15" t="str">
        <f>IFERROR(__xludf.DUMMYFUNCTION("IFERROR(MAX(FILTER(Notas_Finales!$D:$D, Notas_Finales!$A:$A = $B32, VALUE(Notas_Finales!$B:$B) &amp; ""/"" &amp; Notas_Finales!$C:$C = K$1)), ""x"")"),"x")</f>
        <v>x</v>
      </c>
      <c r="L32" s="15" t="str">
        <f>IFERROR(__xludf.DUMMYFUNCTION("IFERROR(MAX(FILTER(Notas_Finales!$D:$D, Notas_Finales!$A:$A = $B32, VALUE(Notas_Finales!$B:$B) &amp; ""/"" &amp; Notas_Finales!$C:$C = L$1)), ""x"")"),"x")</f>
        <v>x</v>
      </c>
      <c r="M32" s="15" t="str">
        <f>IFERROR(__xludf.DUMMYFUNCTION("IFERROR(MAX(FILTER(Notas_Finales!$D:$D, Notas_Finales!$A:$A = $B32, VALUE(Notas_Finales!$B:$B) &amp; ""/"" &amp; Notas_Finales!$C:$C = M$1)), ""x"")"),"x")</f>
        <v>x</v>
      </c>
      <c r="N32" s="15" t="str">
        <f>IFERROR(__xludf.DUMMYFUNCTION("IFERROR(MAX(FILTER(Notas_Finales!$D:$D, Notas_Finales!$A:$A = $B32, VALUE(Notas_Finales!$B:$B) &amp; ""/"" &amp; Notas_Finales!$C:$C = N$1)), ""x"")"),"x")</f>
        <v>x</v>
      </c>
      <c r="O32" s="15" t="str">
        <f>IFERROR(__xludf.DUMMYFUNCTION("IFERROR(MAX(FILTER(Notas_Finales!$D:$D, Notas_Finales!$A:$A = $B32, VALUE(Notas_Finales!$B:$B) &amp; ""/"" &amp; Notas_Finales!$C:$C = O$1)), ""x"")"),"x")</f>
        <v>x</v>
      </c>
      <c r="P32" s="15" t="str">
        <f>IFERROR(__xludf.DUMMYFUNCTION("IFERROR(MAX(FILTER(Notas_Finales!$D:$D, Notas_Finales!$A:$A = $B32, VALUE(Notas_Finales!$B:$B) &amp; ""/"" &amp; Notas_Finales!$C:$C = P$1)), ""x"")"),"x")</f>
        <v>x</v>
      </c>
      <c r="Q32" s="15" t="str">
        <f>IFERROR(__xludf.DUMMYFUNCTION("IFERROR(MAX(FILTER(Notas_Finales!$D:$D, Notas_Finales!$A:$A = $B32, VALUE(Notas_Finales!$B:$B) &amp; ""/"" &amp; Notas_Finales!$C:$C = Q$1)), ""x"")"),"x")</f>
        <v>x</v>
      </c>
    </row>
    <row r="33">
      <c r="B33" s="12"/>
      <c r="C33" s="15" t="str">
        <f>IFERROR(__xludf.DUMMYFUNCTION("IFERROR(MAX(FILTER(Notas_Finales!$D:$D, Notas_Finales!$A:$A = $B33, VALUE(Notas_Finales!$B:$B) &amp; ""/"" &amp; Notas_Finales!$C:$C = C$1)), ""x"")"),"x")</f>
        <v>x</v>
      </c>
      <c r="D33" s="15" t="str">
        <f>IFERROR(__xludf.DUMMYFUNCTION("IFERROR(MAX(FILTER(Notas_Finales!$D:$D, Notas_Finales!$A:$A = $B33, VALUE(Notas_Finales!$B:$B) &amp; ""/"" &amp; Notas_Finales!$C:$C = D$1)), ""x"")"),"x")</f>
        <v>x</v>
      </c>
      <c r="E33" s="15" t="str">
        <f>IFERROR(__xludf.DUMMYFUNCTION("IFERROR(MAX(FILTER(Notas_Finales!$D:$D, Notas_Finales!$A:$A = $B33, VALUE(Notas_Finales!$B:$B) &amp; ""/"" &amp; Notas_Finales!$C:$C = E$1)), ""x"")"),"x")</f>
        <v>x</v>
      </c>
      <c r="F33" s="15" t="str">
        <f>IFERROR(__xludf.DUMMYFUNCTION("IFERROR(MAX(FILTER(Notas_Finales!$D:$D, Notas_Finales!$A:$A = $B33, VALUE(Notas_Finales!$B:$B) &amp; ""/"" &amp; Notas_Finales!$C:$C = F$1)), ""x"")"),"x")</f>
        <v>x</v>
      </c>
      <c r="G33" s="15" t="str">
        <f>IFERROR(__xludf.DUMMYFUNCTION("IFERROR(MAX(FILTER(Notas_Finales!$D:$D, Notas_Finales!$A:$A = $B33, VALUE(Notas_Finales!$B:$B) &amp; ""/"" &amp; Notas_Finales!$C:$C = G$1)), ""x"")"),"x")</f>
        <v>x</v>
      </c>
      <c r="H33" s="15" t="str">
        <f>IFERROR(__xludf.DUMMYFUNCTION("IFERROR(MAX(FILTER(Notas_Finales!$D:$D, Notas_Finales!$A:$A = $B33, VALUE(Notas_Finales!$B:$B) &amp; ""/"" &amp; Notas_Finales!$C:$C = H$1)), ""x"")"),"x")</f>
        <v>x</v>
      </c>
      <c r="I33" s="15" t="str">
        <f>IFERROR(__xludf.DUMMYFUNCTION("IFERROR(MAX(FILTER(Notas_Finales!$D:$D, Notas_Finales!$A:$A = $B33, VALUE(Notas_Finales!$B:$B) &amp; ""/"" &amp; Notas_Finales!$C:$C = I$1)), ""x"")"),"x")</f>
        <v>x</v>
      </c>
      <c r="J33" s="15" t="str">
        <f>IFERROR(__xludf.DUMMYFUNCTION("IFERROR(MAX(FILTER(Notas_Finales!$D:$D, Notas_Finales!$A:$A = $B33, VALUE(Notas_Finales!$B:$B) &amp; ""/"" &amp; Notas_Finales!$C:$C = J$1)), ""x"")"),"x")</f>
        <v>x</v>
      </c>
      <c r="K33" s="15" t="str">
        <f>IFERROR(__xludf.DUMMYFUNCTION("IFERROR(MAX(FILTER(Notas_Finales!$D:$D, Notas_Finales!$A:$A = $B33, VALUE(Notas_Finales!$B:$B) &amp; ""/"" &amp; Notas_Finales!$C:$C = K$1)), ""x"")"),"x")</f>
        <v>x</v>
      </c>
      <c r="L33" s="15" t="str">
        <f>IFERROR(__xludf.DUMMYFUNCTION("IFERROR(MAX(FILTER(Notas_Finales!$D:$D, Notas_Finales!$A:$A = $B33, VALUE(Notas_Finales!$B:$B) &amp; ""/"" &amp; Notas_Finales!$C:$C = L$1)), ""x"")"),"x")</f>
        <v>x</v>
      </c>
      <c r="M33" s="15" t="str">
        <f>IFERROR(__xludf.DUMMYFUNCTION("IFERROR(MAX(FILTER(Notas_Finales!$D:$D, Notas_Finales!$A:$A = $B33, VALUE(Notas_Finales!$B:$B) &amp; ""/"" &amp; Notas_Finales!$C:$C = M$1)), ""x"")"),"x")</f>
        <v>x</v>
      </c>
      <c r="N33" s="15" t="str">
        <f>IFERROR(__xludf.DUMMYFUNCTION("IFERROR(MAX(FILTER(Notas_Finales!$D:$D, Notas_Finales!$A:$A = $B33, VALUE(Notas_Finales!$B:$B) &amp; ""/"" &amp; Notas_Finales!$C:$C = N$1)), ""x"")"),"x")</f>
        <v>x</v>
      </c>
      <c r="O33" s="15" t="str">
        <f>IFERROR(__xludf.DUMMYFUNCTION("IFERROR(MAX(FILTER(Notas_Finales!$D:$D, Notas_Finales!$A:$A = $B33, VALUE(Notas_Finales!$B:$B) &amp; ""/"" &amp; Notas_Finales!$C:$C = O$1)), ""x"")"),"x")</f>
        <v>x</v>
      </c>
      <c r="P33" s="15" t="str">
        <f>IFERROR(__xludf.DUMMYFUNCTION("IFERROR(MAX(FILTER(Notas_Finales!$D:$D, Notas_Finales!$A:$A = $B33, VALUE(Notas_Finales!$B:$B) &amp; ""/"" &amp; Notas_Finales!$C:$C = P$1)), ""x"")"),"x")</f>
        <v>x</v>
      </c>
      <c r="Q33" s="15" t="str">
        <f>IFERROR(__xludf.DUMMYFUNCTION("IFERROR(MAX(FILTER(Notas_Finales!$D:$D, Notas_Finales!$A:$A = $B33, VALUE(Notas_Finales!$B:$B) &amp; ""/"" &amp; Notas_Finales!$C:$C = Q$1)), ""x"")"),"x")</f>
        <v>x</v>
      </c>
    </row>
    <row r="34">
      <c r="B34" s="12"/>
    </row>
    <row r="35">
      <c r="B35" s="12"/>
    </row>
    <row r="36">
      <c r="B36" s="12"/>
    </row>
    <row r="37">
      <c r="B37" s="12"/>
    </row>
    <row r="38">
      <c r="B38" s="12"/>
    </row>
    <row r="39">
      <c r="B39" s="12"/>
    </row>
    <row r="40">
      <c r="B40" s="12"/>
    </row>
    <row r="41">
      <c r="B41" s="12"/>
    </row>
    <row r="42">
      <c r="B42" s="12"/>
    </row>
    <row r="43">
      <c r="B43" s="12"/>
    </row>
    <row r="44">
      <c r="B44" s="12"/>
    </row>
    <row r="45">
      <c r="B45" s="12"/>
    </row>
    <row r="46">
      <c r="B46" s="12"/>
    </row>
    <row r="47">
      <c r="B47" s="12"/>
    </row>
    <row r="48">
      <c r="B48" s="12"/>
    </row>
    <row r="49">
      <c r="B49" s="12"/>
    </row>
    <row r="50">
      <c r="B50" s="12"/>
    </row>
    <row r="51">
      <c r="B51" s="12"/>
    </row>
    <row r="52">
      <c r="B52" s="12"/>
    </row>
    <row r="53">
      <c r="B53" s="12"/>
    </row>
    <row r="54">
      <c r="B54" s="12"/>
    </row>
    <row r="55">
      <c r="B55" s="12"/>
    </row>
    <row r="56">
      <c r="B56" s="12"/>
    </row>
    <row r="57">
      <c r="B57" s="12"/>
    </row>
    <row r="58">
      <c r="B58" s="12"/>
    </row>
    <row r="59">
      <c r="B59" s="12"/>
    </row>
    <row r="60">
      <c r="B60" s="12"/>
    </row>
    <row r="61">
      <c r="B61" s="12"/>
    </row>
    <row r="62">
      <c r="B62" s="12"/>
    </row>
    <row r="63">
      <c r="B63" s="12"/>
    </row>
    <row r="64">
      <c r="B64" s="12"/>
    </row>
    <row r="65">
      <c r="B65" s="12"/>
    </row>
    <row r="66">
      <c r="B66" s="12"/>
    </row>
    <row r="67">
      <c r="B67" s="12"/>
    </row>
    <row r="68">
      <c r="B68" s="12"/>
    </row>
    <row r="69">
      <c r="B69" s="12"/>
    </row>
    <row r="70">
      <c r="B70" s="12"/>
    </row>
    <row r="71">
      <c r="B71" s="12"/>
    </row>
    <row r="72">
      <c r="B72" s="12"/>
    </row>
    <row r="73">
      <c r="B73" s="12"/>
    </row>
    <row r="74">
      <c r="B74" s="12"/>
    </row>
    <row r="75">
      <c r="B75" s="12"/>
    </row>
    <row r="76">
      <c r="B76" s="12"/>
    </row>
    <row r="77">
      <c r="B77" s="12"/>
    </row>
    <row r="78">
      <c r="B78" s="12"/>
    </row>
    <row r="79">
      <c r="B79" s="12"/>
    </row>
    <row r="80">
      <c r="B80" s="12"/>
    </row>
    <row r="81">
      <c r="B81" s="12"/>
    </row>
    <row r="82">
      <c r="B82" s="12"/>
    </row>
    <row r="83">
      <c r="B83" s="12"/>
    </row>
    <row r="84">
      <c r="B84" s="12"/>
    </row>
    <row r="85">
      <c r="B85" s="12"/>
    </row>
    <row r="86">
      <c r="B86" s="12"/>
    </row>
    <row r="87">
      <c r="B87" s="12"/>
    </row>
    <row r="88">
      <c r="B88" s="12"/>
    </row>
    <row r="89">
      <c r="B89" s="12"/>
    </row>
    <row r="90">
      <c r="B90" s="12"/>
    </row>
    <row r="91">
      <c r="B91" s="12"/>
    </row>
    <row r="92">
      <c r="B92" s="12"/>
    </row>
    <row r="93">
      <c r="B93" s="12"/>
    </row>
    <row r="94">
      <c r="B94" s="12"/>
    </row>
    <row r="95">
      <c r="B95" s="12"/>
    </row>
    <row r="96">
      <c r="B96" s="12"/>
    </row>
    <row r="97">
      <c r="B97" s="12"/>
    </row>
    <row r="98">
      <c r="B98" s="12"/>
    </row>
    <row r="99">
      <c r="B99" s="12"/>
    </row>
    <row r="100">
      <c r="B100" s="12"/>
    </row>
    <row r="101">
      <c r="B101" s="12"/>
    </row>
    <row r="102">
      <c r="B102" s="12"/>
    </row>
    <row r="103">
      <c r="B103" s="12"/>
    </row>
    <row r="104">
      <c r="B104" s="12"/>
    </row>
    <row r="105">
      <c r="B105" s="12"/>
    </row>
    <row r="106">
      <c r="B106" s="12"/>
    </row>
    <row r="107">
      <c r="B107" s="12"/>
    </row>
    <row r="108">
      <c r="B108" s="12"/>
    </row>
    <row r="109">
      <c r="B109" s="12"/>
    </row>
    <row r="110">
      <c r="B110" s="12"/>
    </row>
    <row r="111">
      <c r="B111" s="12"/>
    </row>
    <row r="112">
      <c r="B112" s="12"/>
    </row>
    <row r="113">
      <c r="B113" s="12"/>
    </row>
    <row r="114">
      <c r="B114" s="12"/>
    </row>
    <row r="115">
      <c r="B115" s="12"/>
    </row>
    <row r="116">
      <c r="B116" s="12"/>
    </row>
    <row r="117">
      <c r="B117" s="12"/>
    </row>
    <row r="118">
      <c r="B118" s="12"/>
    </row>
    <row r="119">
      <c r="B119" s="12"/>
    </row>
    <row r="120">
      <c r="B120" s="12"/>
    </row>
    <row r="121">
      <c r="B121" s="12"/>
    </row>
    <row r="122">
      <c r="B122" s="12"/>
    </row>
    <row r="123">
      <c r="B123" s="12"/>
    </row>
    <row r="124">
      <c r="B124" s="12"/>
    </row>
    <row r="125">
      <c r="B125" s="12"/>
    </row>
    <row r="126">
      <c r="B126" s="12"/>
    </row>
    <row r="127">
      <c r="B127" s="12"/>
    </row>
    <row r="128">
      <c r="B128" s="12"/>
    </row>
    <row r="129">
      <c r="B129" s="12"/>
    </row>
    <row r="130">
      <c r="B130" s="12"/>
    </row>
    <row r="131">
      <c r="B131" s="12"/>
    </row>
    <row r="132">
      <c r="B132" s="12"/>
    </row>
    <row r="133">
      <c r="B133" s="12"/>
    </row>
    <row r="134">
      <c r="B134" s="12"/>
    </row>
    <row r="135">
      <c r="B135" s="12"/>
    </row>
    <row r="136">
      <c r="B136" s="12"/>
    </row>
    <row r="137">
      <c r="B137" s="12"/>
    </row>
    <row r="138">
      <c r="B138" s="12"/>
    </row>
    <row r="139">
      <c r="B139" s="12"/>
    </row>
    <row r="140">
      <c r="B140" s="12"/>
    </row>
    <row r="141">
      <c r="B141" s="12"/>
    </row>
    <row r="142">
      <c r="B142" s="12"/>
    </row>
    <row r="143">
      <c r="B143" s="12"/>
    </row>
    <row r="144">
      <c r="B144" s="12"/>
    </row>
    <row r="145">
      <c r="B145" s="12"/>
    </row>
    <row r="146">
      <c r="B146" s="12"/>
    </row>
    <row r="147">
      <c r="B147" s="12"/>
    </row>
    <row r="148">
      <c r="B148" s="12"/>
    </row>
    <row r="149">
      <c r="B149" s="12"/>
    </row>
    <row r="150">
      <c r="B150" s="12"/>
    </row>
    <row r="151">
      <c r="B151" s="12"/>
    </row>
    <row r="152">
      <c r="B152" s="12"/>
    </row>
    <row r="153">
      <c r="B153" s="12"/>
    </row>
    <row r="154">
      <c r="B154" s="12"/>
    </row>
    <row r="155">
      <c r="B155" s="12"/>
    </row>
    <row r="156">
      <c r="B156" s="12"/>
    </row>
    <row r="157">
      <c r="B157" s="12"/>
    </row>
    <row r="158">
      <c r="B158" s="12"/>
    </row>
    <row r="159">
      <c r="B159" s="12"/>
    </row>
    <row r="160">
      <c r="B160" s="12"/>
    </row>
    <row r="161">
      <c r="B161" s="12"/>
    </row>
    <row r="162">
      <c r="B162" s="12"/>
    </row>
    <row r="163">
      <c r="B163" s="12"/>
    </row>
    <row r="164">
      <c r="B164" s="12"/>
    </row>
    <row r="165">
      <c r="B165" s="12"/>
    </row>
    <row r="166">
      <c r="B166" s="12"/>
    </row>
    <row r="167">
      <c r="B167" s="12"/>
    </row>
    <row r="168">
      <c r="B168" s="12"/>
    </row>
    <row r="169">
      <c r="B169" s="12"/>
    </row>
    <row r="170">
      <c r="B170" s="12"/>
    </row>
    <row r="171">
      <c r="B171" s="12"/>
    </row>
    <row r="172">
      <c r="B172" s="12"/>
    </row>
    <row r="173">
      <c r="B173" s="12"/>
    </row>
    <row r="174">
      <c r="B174" s="12"/>
    </row>
    <row r="175">
      <c r="B175" s="12"/>
    </row>
    <row r="176">
      <c r="B176" s="12"/>
    </row>
    <row r="177">
      <c r="B177" s="12"/>
    </row>
    <row r="178">
      <c r="B178" s="12"/>
    </row>
    <row r="179">
      <c r="B179" s="12"/>
    </row>
    <row r="180">
      <c r="B180" s="12"/>
    </row>
    <row r="181">
      <c r="B181" s="12"/>
    </row>
    <row r="182">
      <c r="B182" s="12"/>
    </row>
    <row r="183">
      <c r="B183" s="12"/>
    </row>
    <row r="184">
      <c r="B184" s="12"/>
    </row>
    <row r="185">
      <c r="B185" s="12"/>
    </row>
    <row r="186">
      <c r="B186" s="12"/>
    </row>
    <row r="187">
      <c r="B187" s="12"/>
    </row>
    <row r="188">
      <c r="B188" s="12"/>
    </row>
    <row r="189">
      <c r="B189" s="12"/>
    </row>
    <row r="190">
      <c r="B190" s="12"/>
    </row>
    <row r="191">
      <c r="B191" s="12"/>
    </row>
    <row r="192">
      <c r="B192" s="12"/>
    </row>
    <row r="193">
      <c r="B193" s="12"/>
    </row>
    <row r="194">
      <c r="B194" s="12"/>
    </row>
    <row r="195">
      <c r="B195" s="12"/>
    </row>
    <row r="196">
      <c r="B196" s="12"/>
    </row>
    <row r="197">
      <c r="B197" s="12"/>
    </row>
    <row r="198">
      <c r="B198" s="12"/>
    </row>
    <row r="199">
      <c r="B199" s="12"/>
    </row>
    <row r="200">
      <c r="B200" s="12"/>
    </row>
    <row r="201">
      <c r="B201" s="12"/>
    </row>
    <row r="202">
      <c r="B202" s="12"/>
    </row>
    <row r="203">
      <c r="B203" s="12"/>
    </row>
    <row r="204">
      <c r="B204" s="12"/>
    </row>
    <row r="205">
      <c r="B205" s="12"/>
    </row>
    <row r="206">
      <c r="B206" s="12"/>
    </row>
    <row r="207">
      <c r="B207" s="12"/>
    </row>
    <row r="208">
      <c r="B208" s="12"/>
    </row>
    <row r="209">
      <c r="B209" s="12"/>
    </row>
    <row r="210">
      <c r="B210" s="12"/>
    </row>
    <row r="211">
      <c r="B211" s="12"/>
    </row>
    <row r="212">
      <c r="B212" s="12"/>
    </row>
    <row r="213">
      <c r="B213" s="12"/>
    </row>
    <row r="214">
      <c r="B214" s="12"/>
    </row>
    <row r="215">
      <c r="B215" s="12"/>
    </row>
    <row r="216">
      <c r="B216" s="12"/>
    </row>
    <row r="217">
      <c r="B217" s="12"/>
    </row>
    <row r="218">
      <c r="B218" s="12"/>
    </row>
    <row r="219">
      <c r="B219" s="12"/>
    </row>
    <row r="220">
      <c r="B220" s="12"/>
    </row>
    <row r="221">
      <c r="B221" s="12"/>
    </row>
    <row r="222">
      <c r="B222" s="12"/>
    </row>
    <row r="223">
      <c r="B223" s="12"/>
    </row>
    <row r="224">
      <c r="B224" s="12"/>
    </row>
    <row r="225">
      <c r="B225" s="12"/>
    </row>
    <row r="226">
      <c r="B226" s="12"/>
    </row>
    <row r="227">
      <c r="B227" s="12"/>
    </row>
    <row r="228">
      <c r="B228" s="12"/>
    </row>
    <row r="229">
      <c r="B229" s="12"/>
    </row>
    <row r="230">
      <c r="B230" s="12"/>
    </row>
    <row r="231">
      <c r="B231" s="12"/>
    </row>
    <row r="232">
      <c r="B232" s="12"/>
    </row>
    <row r="233">
      <c r="B233" s="12"/>
    </row>
    <row r="234">
      <c r="B234" s="12"/>
    </row>
    <row r="235">
      <c r="B235" s="12"/>
    </row>
    <row r="236">
      <c r="B236" s="12"/>
    </row>
    <row r="237">
      <c r="B237" s="12"/>
    </row>
    <row r="238">
      <c r="B238" s="12"/>
    </row>
    <row r="239">
      <c r="B239" s="12"/>
    </row>
    <row r="240">
      <c r="B240" s="12"/>
    </row>
    <row r="241">
      <c r="B241" s="12"/>
    </row>
    <row r="242">
      <c r="B242" s="12"/>
    </row>
    <row r="243">
      <c r="B243" s="12"/>
    </row>
    <row r="244">
      <c r="B244" s="12"/>
    </row>
    <row r="245">
      <c r="B245" s="12"/>
    </row>
    <row r="246">
      <c r="B246" s="12"/>
    </row>
    <row r="247">
      <c r="B247" s="12"/>
    </row>
    <row r="248">
      <c r="B248" s="12"/>
    </row>
    <row r="249">
      <c r="B249" s="12"/>
    </row>
    <row r="250">
      <c r="B250" s="12"/>
    </row>
    <row r="251">
      <c r="B251" s="12"/>
    </row>
    <row r="252">
      <c r="B252" s="12"/>
    </row>
    <row r="253">
      <c r="B253" s="12"/>
    </row>
    <row r="254">
      <c r="B254" s="12"/>
    </row>
    <row r="255">
      <c r="B255" s="12"/>
    </row>
    <row r="256">
      <c r="B256" s="12"/>
    </row>
    <row r="257">
      <c r="B257" s="12"/>
    </row>
    <row r="258">
      <c r="B258" s="12"/>
    </row>
    <row r="259">
      <c r="B259" s="12"/>
    </row>
    <row r="260">
      <c r="B260" s="12"/>
    </row>
    <row r="261">
      <c r="B261" s="12"/>
    </row>
    <row r="262">
      <c r="B262" s="12"/>
    </row>
    <row r="263">
      <c r="B263" s="12"/>
    </row>
    <row r="264">
      <c r="B264" s="12"/>
    </row>
    <row r="265">
      <c r="B265" s="12"/>
    </row>
    <row r="266">
      <c r="B266" s="12"/>
    </row>
    <row r="267">
      <c r="B267" s="12"/>
    </row>
    <row r="268">
      <c r="B268" s="12"/>
    </row>
    <row r="269">
      <c r="B269" s="12"/>
    </row>
    <row r="270">
      <c r="B270" s="12"/>
    </row>
    <row r="271">
      <c r="B271" s="12"/>
    </row>
    <row r="272">
      <c r="B272" s="12"/>
    </row>
    <row r="273">
      <c r="B273" s="12"/>
    </row>
    <row r="274">
      <c r="B274" s="12"/>
    </row>
    <row r="275">
      <c r="B275" s="12"/>
    </row>
    <row r="276">
      <c r="B276" s="12"/>
    </row>
    <row r="277">
      <c r="B277" s="12"/>
    </row>
    <row r="278">
      <c r="B278" s="12"/>
    </row>
    <row r="279">
      <c r="B279" s="12"/>
    </row>
    <row r="280">
      <c r="B280" s="12"/>
    </row>
    <row r="281">
      <c r="B281" s="12"/>
    </row>
    <row r="282">
      <c r="B282" s="12"/>
    </row>
    <row r="283">
      <c r="B283" s="12"/>
    </row>
    <row r="284">
      <c r="B284" s="12"/>
    </row>
    <row r="285">
      <c r="B285" s="12"/>
    </row>
    <row r="286">
      <c r="B286" s="12"/>
    </row>
    <row r="287">
      <c r="B287" s="12"/>
    </row>
    <row r="288">
      <c r="B288" s="12"/>
    </row>
    <row r="289">
      <c r="B289" s="12"/>
    </row>
    <row r="290">
      <c r="B290" s="12"/>
    </row>
    <row r="291">
      <c r="B291" s="12"/>
    </row>
    <row r="292">
      <c r="B292" s="12"/>
    </row>
    <row r="293">
      <c r="B293" s="12"/>
    </row>
    <row r="294">
      <c r="B294" s="12"/>
    </row>
    <row r="295">
      <c r="B295" s="12"/>
    </row>
    <row r="296">
      <c r="B296" s="12"/>
    </row>
    <row r="297">
      <c r="B297" s="12"/>
    </row>
    <row r="298">
      <c r="B298" s="12"/>
    </row>
    <row r="299">
      <c r="B299" s="12"/>
    </row>
    <row r="300">
      <c r="B300" s="12"/>
    </row>
    <row r="301">
      <c r="B301" s="12"/>
    </row>
    <row r="302">
      <c r="B302" s="12"/>
    </row>
    <row r="303">
      <c r="B303" s="12"/>
    </row>
    <row r="304">
      <c r="B304" s="12"/>
    </row>
    <row r="305">
      <c r="B305" s="12"/>
    </row>
    <row r="306">
      <c r="B306" s="12"/>
    </row>
    <row r="307">
      <c r="B307" s="12"/>
    </row>
    <row r="308">
      <c r="B308" s="12"/>
    </row>
    <row r="309">
      <c r="B309" s="12"/>
    </row>
    <row r="310">
      <c r="B310" s="12"/>
    </row>
    <row r="311">
      <c r="B311" s="12"/>
    </row>
    <row r="312">
      <c r="B312" s="12"/>
    </row>
    <row r="313">
      <c r="B313" s="12"/>
    </row>
    <row r="314">
      <c r="B314" s="12"/>
    </row>
    <row r="315">
      <c r="B315" s="12"/>
    </row>
    <row r="316">
      <c r="B316" s="12"/>
    </row>
    <row r="317">
      <c r="B317" s="12"/>
    </row>
    <row r="318">
      <c r="B318" s="12"/>
    </row>
    <row r="319">
      <c r="B319" s="12"/>
    </row>
    <row r="320">
      <c r="B320" s="12"/>
    </row>
    <row r="321">
      <c r="B321" s="12"/>
    </row>
    <row r="322">
      <c r="B322" s="12"/>
    </row>
    <row r="323">
      <c r="B323" s="12"/>
    </row>
    <row r="324">
      <c r="B324" s="12"/>
    </row>
    <row r="325">
      <c r="B325" s="12"/>
    </row>
    <row r="326">
      <c r="B326" s="12"/>
    </row>
    <row r="327">
      <c r="B327" s="12"/>
    </row>
    <row r="328">
      <c r="B328" s="12"/>
    </row>
    <row r="329">
      <c r="B329" s="12"/>
    </row>
    <row r="330">
      <c r="B330" s="12"/>
    </row>
    <row r="331">
      <c r="B331" s="12"/>
    </row>
    <row r="332">
      <c r="B332" s="12"/>
    </row>
    <row r="333">
      <c r="B333" s="12"/>
    </row>
    <row r="334">
      <c r="B334" s="12"/>
    </row>
    <row r="335">
      <c r="B335" s="12"/>
    </row>
    <row r="336">
      <c r="B336" s="12"/>
    </row>
    <row r="337">
      <c r="B337" s="12"/>
    </row>
    <row r="338">
      <c r="B338" s="12"/>
    </row>
    <row r="339">
      <c r="B339" s="12"/>
    </row>
    <row r="340">
      <c r="B340" s="12"/>
    </row>
    <row r="341">
      <c r="B341" s="12"/>
    </row>
    <row r="342">
      <c r="B342" s="12"/>
    </row>
    <row r="343">
      <c r="B343" s="12"/>
    </row>
    <row r="344">
      <c r="B344" s="12"/>
    </row>
    <row r="345">
      <c r="B345" s="12"/>
    </row>
    <row r="346">
      <c r="B346" s="12"/>
    </row>
    <row r="347">
      <c r="B347" s="12"/>
    </row>
    <row r="348">
      <c r="B348" s="12"/>
    </row>
    <row r="349">
      <c r="B349" s="12"/>
    </row>
    <row r="350">
      <c r="B350" s="12"/>
    </row>
    <row r="351">
      <c r="B351" s="12"/>
    </row>
    <row r="352">
      <c r="B352" s="12"/>
    </row>
    <row r="353">
      <c r="B353" s="12"/>
    </row>
    <row r="354">
      <c r="B354" s="12"/>
    </row>
    <row r="355">
      <c r="B355" s="12"/>
    </row>
    <row r="356">
      <c r="B356" s="12"/>
    </row>
    <row r="357">
      <c r="B357" s="12"/>
    </row>
    <row r="358">
      <c r="B358" s="12"/>
    </row>
    <row r="359">
      <c r="B359" s="12"/>
    </row>
    <row r="360">
      <c r="B360" s="12"/>
    </row>
    <row r="361">
      <c r="B361" s="12"/>
    </row>
    <row r="362">
      <c r="B362" s="12"/>
    </row>
    <row r="363">
      <c r="B363" s="12"/>
    </row>
    <row r="364">
      <c r="B364" s="12"/>
    </row>
    <row r="365">
      <c r="B365" s="12"/>
    </row>
    <row r="366">
      <c r="B366" s="12"/>
    </row>
    <row r="367">
      <c r="B367" s="12"/>
    </row>
    <row r="368">
      <c r="B368" s="12"/>
    </row>
    <row r="369">
      <c r="B369" s="12"/>
    </row>
    <row r="370">
      <c r="B370" s="12"/>
    </row>
    <row r="371">
      <c r="B371" s="12"/>
    </row>
    <row r="372">
      <c r="B372" s="12"/>
    </row>
    <row r="373">
      <c r="B373" s="12"/>
    </row>
    <row r="374">
      <c r="B374" s="12"/>
    </row>
    <row r="375">
      <c r="B375" s="12"/>
    </row>
    <row r="376">
      <c r="B376" s="12"/>
    </row>
    <row r="377">
      <c r="B377" s="12"/>
    </row>
    <row r="378">
      <c r="B378" s="12"/>
    </row>
    <row r="379">
      <c r="B379" s="12"/>
    </row>
    <row r="380">
      <c r="B380" s="12"/>
    </row>
    <row r="381">
      <c r="B381" s="12"/>
    </row>
    <row r="382">
      <c r="B382" s="12"/>
    </row>
    <row r="383">
      <c r="B383" s="12"/>
    </row>
    <row r="384">
      <c r="B384" s="12"/>
    </row>
    <row r="385">
      <c r="B385" s="12"/>
    </row>
    <row r="386">
      <c r="B386" s="12"/>
    </row>
    <row r="387">
      <c r="B387" s="12"/>
    </row>
    <row r="388">
      <c r="B388" s="12"/>
    </row>
    <row r="389">
      <c r="B389" s="12"/>
    </row>
    <row r="390">
      <c r="B390" s="12"/>
    </row>
    <row r="391">
      <c r="B391" s="12"/>
    </row>
    <row r="392">
      <c r="B392" s="12"/>
    </row>
    <row r="393">
      <c r="B393" s="12"/>
    </row>
    <row r="394">
      <c r="B394" s="12"/>
    </row>
    <row r="395">
      <c r="B395" s="12"/>
    </row>
    <row r="396">
      <c r="B396" s="12"/>
    </row>
    <row r="397">
      <c r="B397" s="12"/>
    </row>
    <row r="398">
      <c r="B398" s="12"/>
    </row>
    <row r="399">
      <c r="B399" s="12"/>
    </row>
    <row r="400">
      <c r="B400" s="12"/>
    </row>
    <row r="401">
      <c r="B401" s="12"/>
    </row>
    <row r="402">
      <c r="B402" s="12"/>
    </row>
    <row r="403">
      <c r="B403" s="12"/>
    </row>
    <row r="404">
      <c r="B404" s="12"/>
    </row>
    <row r="405">
      <c r="B405" s="12"/>
    </row>
    <row r="406">
      <c r="B406" s="12"/>
    </row>
    <row r="407">
      <c r="B407" s="12"/>
    </row>
    <row r="408">
      <c r="B408" s="12"/>
    </row>
    <row r="409">
      <c r="B409" s="12"/>
    </row>
    <row r="410">
      <c r="B410" s="12"/>
    </row>
    <row r="411">
      <c r="B411" s="12"/>
    </row>
    <row r="412">
      <c r="B412" s="12"/>
    </row>
    <row r="413">
      <c r="B413" s="12"/>
    </row>
    <row r="414">
      <c r="B414" s="12"/>
    </row>
    <row r="415">
      <c r="B415" s="12"/>
    </row>
    <row r="416">
      <c r="B416" s="12"/>
    </row>
    <row r="417">
      <c r="B417" s="12"/>
    </row>
    <row r="418">
      <c r="B418" s="12"/>
    </row>
    <row r="419">
      <c r="B419" s="12"/>
    </row>
    <row r="420">
      <c r="B420" s="12"/>
    </row>
    <row r="421">
      <c r="B421" s="12"/>
    </row>
    <row r="422">
      <c r="B422" s="12"/>
    </row>
    <row r="423">
      <c r="B423" s="12"/>
    </row>
    <row r="424">
      <c r="B424" s="12"/>
    </row>
    <row r="425">
      <c r="B425" s="12"/>
    </row>
    <row r="426">
      <c r="B426" s="12"/>
    </row>
    <row r="427">
      <c r="B427" s="12"/>
    </row>
    <row r="428">
      <c r="B428" s="12"/>
    </row>
    <row r="429">
      <c r="B429" s="12"/>
    </row>
    <row r="430">
      <c r="B430" s="12"/>
    </row>
    <row r="431">
      <c r="B431" s="12"/>
    </row>
    <row r="432">
      <c r="B432" s="12"/>
    </row>
    <row r="433">
      <c r="B433" s="12"/>
    </row>
    <row r="434">
      <c r="B434" s="12"/>
    </row>
    <row r="435">
      <c r="B435" s="12"/>
    </row>
    <row r="436">
      <c r="B436" s="12"/>
    </row>
    <row r="437">
      <c r="B437" s="12"/>
    </row>
    <row r="438">
      <c r="B438" s="12"/>
    </row>
    <row r="439">
      <c r="B439" s="12"/>
    </row>
    <row r="440">
      <c r="B440" s="12"/>
    </row>
    <row r="441">
      <c r="B441" s="12"/>
    </row>
    <row r="442">
      <c r="B442" s="12"/>
    </row>
    <row r="443">
      <c r="B443" s="12"/>
    </row>
    <row r="444">
      <c r="B444" s="12"/>
    </row>
    <row r="445">
      <c r="B445" s="12"/>
    </row>
    <row r="446">
      <c r="B446" s="12"/>
    </row>
    <row r="447">
      <c r="B447" s="12"/>
    </row>
    <row r="448">
      <c r="B448" s="12"/>
    </row>
    <row r="449">
      <c r="B449" s="12"/>
    </row>
    <row r="450">
      <c r="B450" s="12"/>
    </row>
    <row r="451">
      <c r="B451" s="12"/>
    </row>
    <row r="452">
      <c r="B452" s="12"/>
    </row>
    <row r="453">
      <c r="B453" s="12"/>
    </row>
    <row r="454">
      <c r="B454" s="12"/>
    </row>
    <row r="455">
      <c r="B455" s="12"/>
    </row>
    <row r="456">
      <c r="B456" s="12"/>
    </row>
    <row r="457">
      <c r="B457" s="12"/>
    </row>
    <row r="458">
      <c r="B458" s="12"/>
    </row>
    <row r="459">
      <c r="B459" s="12"/>
    </row>
    <row r="460">
      <c r="B460" s="12"/>
    </row>
    <row r="461">
      <c r="B461" s="12"/>
    </row>
    <row r="462">
      <c r="B462" s="12"/>
    </row>
    <row r="463">
      <c r="B463" s="12"/>
    </row>
    <row r="464">
      <c r="B464" s="12"/>
    </row>
    <row r="465">
      <c r="B465" s="12"/>
    </row>
    <row r="466">
      <c r="B466" s="12"/>
    </row>
    <row r="467">
      <c r="B467" s="12"/>
    </row>
    <row r="468">
      <c r="B468" s="12"/>
    </row>
    <row r="469">
      <c r="B469" s="12"/>
    </row>
    <row r="470">
      <c r="B470" s="12"/>
    </row>
    <row r="471">
      <c r="B471" s="12"/>
    </row>
    <row r="472">
      <c r="B472" s="12"/>
    </row>
    <row r="473">
      <c r="B473" s="12"/>
    </row>
    <row r="474">
      <c r="B474" s="12"/>
    </row>
    <row r="475">
      <c r="B475" s="12"/>
    </row>
    <row r="476">
      <c r="B476" s="12"/>
    </row>
    <row r="477">
      <c r="B477" s="12"/>
    </row>
    <row r="478">
      <c r="B478" s="12"/>
    </row>
    <row r="479">
      <c r="B479" s="12"/>
    </row>
    <row r="480">
      <c r="B480" s="12"/>
    </row>
    <row r="481">
      <c r="B481" s="12"/>
    </row>
    <row r="482">
      <c r="B482" s="12"/>
    </row>
    <row r="483">
      <c r="B483" s="12"/>
    </row>
    <row r="484">
      <c r="B484" s="12"/>
    </row>
    <row r="485">
      <c r="B485" s="12"/>
    </row>
    <row r="486">
      <c r="B486" s="12"/>
    </row>
    <row r="487">
      <c r="B487" s="12"/>
    </row>
    <row r="488">
      <c r="B488" s="12"/>
    </row>
    <row r="489">
      <c r="B489" s="12"/>
    </row>
    <row r="490">
      <c r="B490" s="12"/>
    </row>
    <row r="491">
      <c r="B491" s="12"/>
    </row>
    <row r="492">
      <c r="B492" s="12"/>
    </row>
    <row r="493">
      <c r="B493" s="12"/>
    </row>
    <row r="494">
      <c r="B494" s="12"/>
    </row>
    <row r="495">
      <c r="B495" s="12"/>
    </row>
    <row r="496">
      <c r="B496" s="12"/>
    </row>
    <row r="497">
      <c r="B497" s="12"/>
    </row>
    <row r="498">
      <c r="B498" s="12"/>
    </row>
    <row r="499">
      <c r="B499" s="12"/>
    </row>
    <row r="500">
      <c r="B500" s="12"/>
    </row>
    <row r="501">
      <c r="B501" s="12"/>
    </row>
    <row r="502">
      <c r="B502" s="12"/>
    </row>
    <row r="503">
      <c r="B503" s="12"/>
    </row>
    <row r="504">
      <c r="B504" s="12"/>
    </row>
    <row r="505">
      <c r="B505" s="12"/>
    </row>
    <row r="506">
      <c r="B506" s="12"/>
    </row>
    <row r="507">
      <c r="B507" s="12"/>
    </row>
    <row r="508">
      <c r="B508" s="12"/>
    </row>
    <row r="509">
      <c r="B509" s="12"/>
    </row>
    <row r="510">
      <c r="B510" s="12"/>
    </row>
    <row r="511">
      <c r="B511" s="12"/>
    </row>
    <row r="512">
      <c r="B512" s="12"/>
    </row>
    <row r="513">
      <c r="B513" s="12"/>
    </row>
    <row r="514">
      <c r="B514" s="12"/>
    </row>
    <row r="515">
      <c r="B515" s="12"/>
    </row>
    <row r="516">
      <c r="B516" s="12"/>
    </row>
    <row r="517">
      <c r="B517" s="12"/>
    </row>
    <row r="518">
      <c r="B518" s="12"/>
    </row>
    <row r="519">
      <c r="B519" s="12"/>
    </row>
    <row r="520">
      <c r="B520" s="12"/>
    </row>
    <row r="521">
      <c r="B521" s="12"/>
    </row>
    <row r="522">
      <c r="B522" s="12"/>
    </row>
    <row r="523">
      <c r="B523" s="12"/>
    </row>
    <row r="524">
      <c r="B524" s="12"/>
    </row>
    <row r="525">
      <c r="B525" s="12"/>
    </row>
    <row r="526">
      <c r="B526" s="12"/>
    </row>
    <row r="527">
      <c r="B527" s="12"/>
    </row>
    <row r="528">
      <c r="B528" s="12"/>
    </row>
    <row r="529">
      <c r="B529" s="12"/>
    </row>
    <row r="530">
      <c r="B530" s="12"/>
    </row>
    <row r="531">
      <c r="B531" s="12"/>
    </row>
    <row r="532">
      <c r="B532" s="12"/>
    </row>
    <row r="533">
      <c r="B533" s="12"/>
    </row>
    <row r="534">
      <c r="B534" s="12"/>
    </row>
    <row r="535">
      <c r="B535" s="12"/>
    </row>
    <row r="536">
      <c r="B536" s="12"/>
    </row>
    <row r="537">
      <c r="B537" s="12"/>
    </row>
    <row r="538">
      <c r="B538" s="12"/>
    </row>
    <row r="539">
      <c r="B539" s="12"/>
    </row>
    <row r="540">
      <c r="B540" s="12"/>
    </row>
    <row r="541">
      <c r="B541" s="12"/>
    </row>
    <row r="542">
      <c r="B542" s="12"/>
    </row>
    <row r="543">
      <c r="B543" s="12"/>
    </row>
    <row r="544">
      <c r="B544" s="12"/>
    </row>
    <row r="545">
      <c r="B545" s="12"/>
    </row>
    <row r="546">
      <c r="B546" s="12"/>
    </row>
    <row r="547">
      <c r="B547" s="12"/>
    </row>
    <row r="548">
      <c r="B548" s="12"/>
    </row>
    <row r="549">
      <c r="B549" s="12"/>
    </row>
    <row r="550">
      <c r="B550" s="12"/>
    </row>
    <row r="551">
      <c r="B551" s="12"/>
    </row>
    <row r="552">
      <c r="B552" s="12"/>
    </row>
    <row r="553">
      <c r="B553" s="12"/>
    </row>
    <row r="554">
      <c r="B554" s="12"/>
    </row>
    <row r="555">
      <c r="B555" s="12"/>
    </row>
    <row r="556">
      <c r="B556" s="12"/>
    </row>
    <row r="557">
      <c r="B557" s="12"/>
    </row>
    <row r="558">
      <c r="B558" s="12"/>
    </row>
    <row r="559">
      <c r="B559" s="12"/>
    </row>
    <row r="560">
      <c r="B560" s="12"/>
    </row>
    <row r="561">
      <c r="B561" s="12"/>
    </row>
    <row r="562">
      <c r="B562" s="12"/>
    </row>
    <row r="563">
      <c r="B563" s="12"/>
    </row>
    <row r="564">
      <c r="B564" s="12"/>
    </row>
    <row r="565">
      <c r="B565" s="12"/>
    </row>
    <row r="566">
      <c r="B566" s="12"/>
    </row>
    <row r="567">
      <c r="B567" s="12"/>
    </row>
    <row r="568">
      <c r="B568" s="12"/>
    </row>
    <row r="569">
      <c r="B569" s="12"/>
    </row>
    <row r="570">
      <c r="B570" s="12"/>
    </row>
    <row r="571">
      <c r="B571" s="12"/>
    </row>
    <row r="572">
      <c r="B572" s="12"/>
    </row>
    <row r="573">
      <c r="B573" s="12"/>
    </row>
    <row r="574">
      <c r="B574" s="12"/>
    </row>
    <row r="575">
      <c r="B575" s="12"/>
    </row>
    <row r="576">
      <c r="B576" s="12"/>
    </row>
    <row r="577">
      <c r="B577" s="12"/>
    </row>
    <row r="578">
      <c r="B578" s="12"/>
    </row>
    <row r="579">
      <c r="B579" s="12"/>
    </row>
    <row r="580">
      <c r="B580" s="12"/>
    </row>
    <row r="581">
      <c r="B581" s="12"/>
    </row>
    <row r="582">
      <c r="B582" s="12"/>
    </row>
    <row r="583">
      <c r="B583" s="12"/>
    </row>
    <row r="584">
      <c r="B584" s="12"/>
    </row>
    <row r="585">
      <c r="B585" s="12"/>
    </row>
    <row r="586">
      <c r="B586" s="12"/>
    </row>
    <row r="587">
      <c r="B587" s="12"/>
    </row>
    <row r="588">
      <c r="B588" s="12"/>
    </row>
    <row r="589">
      <c r="B589" s="12"/>
    </row>
    <row r="590">
      <c r="B590" s="12"/>
    </row>
    <row r="591">
      <c r="B591" s="12"/>
    </row>
    <row r="592">
      <c r="B592" s="12"/>
    </row>
    <row r="593">
      <c r="B593" s="12"/>
    </row>
    <row r="594">
      <c r="B594" s="12"/>
    </row>
    <row r="595">
      <c r="B595" s="12"/>
    </row>
    <row r="596">
      <c r="B596" s="12"/>
    </row>
    <row r="597">
      <c r="B597" s="12"/>
    </row>
    <row r="598">
      <c r="B598" s="12"/>
    </row>
    <row r="599">
      <c r="B599" s="12"/>
    </row>
    <row r="600">
      <c r="B600" s="12"/>
    </row>
    <row r="601">
      <c r="B601" s="12"/>
    </row>
    <row r="602">
      <c r="B602" s="12"/>
    </row>
    <row r="603">
      <c r="B603" s="12"/>
    </row>
    <row r="604">
      <c r="B604" s="12"/>
    </row>
    <row r="605">
      <c r="B605" s="12"/>
    </row>
    <row r="606">
      <c r="B606" s="12"/>
    </row>
    <row r="607">
      <c r="B607" s="12"/>
    </row>
    <row r="608">
      <c r="B608" s="12"/>
    </row>
    <row r="609">
      <c r="B609" s="12"/>
    </row>
    <row r="610">
      <c r="B610" s="12"/>
    </row>
    <row r="611">
      <c r="B611" s="12"/>
    </row>
    <row r="612">
      <c r="B612" s="12"/>
    </row>
    <row r="613">
      <c r="B613" s="12"/>
    </row>
    <row r="614">
      <c r="B614" s="12"/>
    </row>
    <row r="615">
      <c r="B615" s="12"/>
    </row>
    <row r="616">
      <c r="B616" s="12"/>
    </row>
    <row r="617">
      <c r="B617" s="12"/>
    </row>
    <row r="618">
      <c r="B618" s="12"/>
    </row>
    <row r="619">
      <c r="B619" s="12"/>
    </row>
    <row r="620">
      <c r="B620" s="12"/>
    </row>
    <row r="621">
      <c r="B621" s="12"/>
    </row>
    <row r="622">
      <c r="B622" s="12"/>
    </row>
    <row r="623">
      <c r="B623" s="12"/>
    </row>
    <row r="624">
      <c r="B624" s="12"/>
    </row>
    <row r="625">
      <c r="B625" s="12"/>
    </row>
    <row r="626">
      <c r="B626" s="12"/>
    </row>
    <row r="627">
      <c r="B627" s="12"/>
    </row>
    <row r="628">
      <c r="B628" s="12"/>
    </row>
    <row r="629">
      <c r="B629" s="12"/>
    </row>
    <row r="630">
      <c r="B630" s="12"/>
    </row>
    <row r="631">
      <c r="B631" s="12"/>
    </row>
    <row r="632">
      <c r="B632" s="12"/>
    </row>
    <row r="633">
      <c r="B633" s="12"/>
    </row>
    <row r="634">
      <c r="B634" s="12"/>
    </row>
    <row r="635">
      <c r="B635" s="12"/>
    </row>
    <row r="636">
      <c r="B636" s="12"/>
    </row>
    <row r="637">
      <c r="B637" s="12"/>
    </row>
    <row r="638">
      <c r="B638" s="12"/>
    </row>
    <row r="639">
      <c r="B639" s="12"/>
    </row>
    <row r="640">
      <c r="B640" s="12"/>
    </row>
    <row r="641">
      <c r="B641" s="12"/>
    </row>
    <row r="642">
      <c r="B642" s="12"/>
    </row>
    <row r="643">
      <c r="B643" s="12"/>
    </row>
    <row r="644">
      <c r="B644" s="12"/>
    </row>
    <row r="645">
      <c r="B645" s="12"/>
    </row>
    <row r="646">
      <c r="B646" s="12"/>
    </row>
    <row r="647">
      <c r="B647" s="12"/>
    </row>
    <row r="648">
      <c r="B648" s="12"/>
    </row>
    <row r="649">
      <c r="B649" s="12"/>
    </row>
    <row r="650">
      <c r="B650" s="12"/>
    </row>
    <row r="651">
      <c r="B651" s="12"/>
    </row>
    <row r="652">
      <c r="B652" s="12"/>
    </row>
    <row r="653">
      <c r="B653" s="12"/>
    </row>
    <row r="654">
      <c r="B654" s="12"/>
    </row>
    <row r="655">
      <c r="B655" s="12"/>
    </row>
    <row r="656">
      <c r="B656" s="12"/>
    </row>
    <row r="657">
      <c r="B657" s="12"/>
    </row>
    <row r="658">
      <c r="B658" s="12"/>
    </row>
    <row r="659">
      <c r="B659" s="12"/>
    </row>
    <row r="660">
      <c r="B660" s="12"/>
    </row>
    <row r="661">
      <c r="B661" s="12"/>
    </row>
    <row r="662">
      <c r="B662" s="12"/>
    </row>
    <row r="663">
      <c r="B663" s="12"/>
    </row>
    <row r="664">
      <c r="B664" s="12"/>
    </row>
    <row r="665">
      <c r="B665" s="12"/>
    </row>
    <row r="666">
      <c r="B666" s="12"/>
    </row>
    <row r="667">
      <c r="B667" s="12"/>
    </row>
    <row r="668">
      <c r="B668" s="12"/>
    </row>
    <row r="669">
      <c r="B669" s="12"/>
    </row>
    <row r="670">
      <c r="B670" s="12"/>
    </row>
    <row r="671">
      <c r="B671" s="12"/>
    </row>
    <row r="672">
      <c r="B672" s="12"/>
    </row>
    <row r="673">
      <c r="B673" s="12"/>
    </row>
    <row r="674">
      <c r="B674" s="12"/>
    </row>
    <row r="675">
      <c r="B675" s="12"/>
    </row>
    <row r="676">
      <c r="B676" s="12"/>
    </row>
    <row r="677">
      <c r="B677" s="12"/>
    </row>
    <row r="678">
      <c r="B678" s="12"/>
    </row>
    <row r="679">
      <c r="B679" s="12"/>
    </row>
    <row r="680">
      <c r="B680" s="12"/>
    </row>
    <row r="681">
      <c r="B681" s="12"/>
    </row>
    <row r="682">
      <c r="B682" s="12"/>
    </row>
    <row r="683">
      <c r="B683" s="12"/>
    </row>
    <row r="684">
      <c r="B684" s="12"/>
    </row>
    <row r="685">
      <c r="B685" s="12"/>
    </row>
    <row r="686">
      <c r="B686" s="12"/>
    </row>
    <row r="687">
      <c r="B687" s="12"/>
    </row>
    <row r="688">
      <c r="B688" s="12"/>
    </row>
    <row r="689">
      <c r="B689" s="12"/>
    </row>
    <row r="690">
      <c r="B690" s="12"/>
    </row>
    <row r="691">
      <c r="B691" s="12"/>
    </row>
    <row r="692">
      <c r="B692" s="12"/>
    </row>
    <row r="693">
      <c r="B693" s="12"/>
    </row>
    <row r="694">
      <c r="B694" s="12"/>
    </row>
    <row r="695">
      <c r="B695" s="12"/>
    </row>
    <row r="696">
      <c r="B696" s="12"/>
    </row>
    <row r="697">
      <c r="B697" s="12"/>
    </row>
    <row r="698">
      <c r="B698" s="12"/>
    </row>
    <row r="699">
      <c r="B699" s="12"/>
    </row>
    <row r="700">
      <c r="B700" s="12"/>
    </row>
    <row r="701">
      <c r="B701" s="12"/>
    </row>
    <row r="702">
      <c r="B702" s="12"/>
    </row>
    <row r="703">
      <c r="B703" s="12"/>
    </row>
    <row r="704">
      <c r="B704" s="12"/>
    </row>
    <row r="705">
      <c r="B705" s="12"/>
    </row>
    <row r="706">
      <c r="B706" s="12"/>
    </row>
    <row r="707">
      <c r="B707" s="12"/>
    </row>
    <row r="708">
      <c r="B708" s="12"/>
    </row>
    <row r="709">
      <c r="B709" s="12"/>
    </row>
    <row r="710">
      <c r="B710" s="12"/>
    </row>
    <row r="711">
      <c r="B711" s="12"/>
    </row>
    <row r="712">
      <c r="B712" s="12"/>
    </row>
    <row r="713">
      <c r="B713" s="12"/>
    </row>
    <row r="714">
      <c r="B714" s="12"/>
    </row>
    <row r="715">
      <c r="B715" s="12"/>
    </row>
    <row r="716">
      <c r="B716" s="12"/>
    </row>
    <row r="717">
      <c r="B717" s="12"/>
    </row>
    <row r="718">
      <c r="B718" s="12"/>
    </row>
    <row r="719">
      <c r="B719" s="12"/>
    </row>
    <row r="720">
      <c r="B720" s="12"/>
    </row>
    <row r="721">
      <c r="B721" s="12"/>
    </row>
    <row r="722">
      <c r="B722" s="12"/>
    </row>
    <row r="723">
      <c r="B723" s="12"/>
    </row>
    <row r="724">
      <c r="B724" s="12"/>
    </row>
    <row r="725">
      <c r="B725" s="12"/>
    </row>
    <row r="726">
      <c r="B726" s="12"/>
    </row>
    <row r="727">
      <c r="B727" s="12"/>
    </row>
    <row r="728">
      <c r="B728" s="12"/>
    </row>
    <row r="729">
      <c r="B729" s="12"/>
    </row>
    <row r="730">
      <c r="B730" s="12"/>
    </row>
    <row r="731">
      <c r="B731" s="12"/>
    </row>
    <row r="732">
      <c r="B732" s="12"/>
    </row>
    <row r="733">
      <c r="B733" s="12"/>
    </row>
    <row r="734">
      <c r="B734" s="12"/>
    </row>
    <row r="735">
      <c r="B735" s="12"/>
    </row>
    <row r="736">
      <c r="B736" s="12"/>
    </row>
    <row r="737">
      <c r="B737" s="12"/>
    </row>
    <row r="738">
      <c r="B738" s="12"/>
    </row>
    <row r="739">
      <c r="B739" s="12"/>
    </row>
    <row r="740">
      <c r="B740" s="12"/>
    </row>
    <row r="741">
      <c r="B741" s="12"/>
    </row>
    <row r="742">
      <c r="B742" s="12"/>
    </row>
    <row r="743">
      <c r="B743" s="12"/>
    </row>
    <row r="744">
      <c r="B744" s="12"/>
    </row>
    <row r="745">
      <c r="B745" s="12"/>
    </row>
    <row r="746">
      <c r="B746" s="12"/>
    </row>
    <row r="747">
      <c r="B747" s="12"/>
    </row>
    <row r="748">
      <c r="B748" s="12"/>
    </row>
    <row r="749">
      <c r="B749" s="12"/>
    </row>
    <row r="750">
      <c r="B750" s="12"/>
    </row>
    <row r="751">
      <c r="B751" s="12"/>
    </row>
    <row r="752">
      <c r="B752" s="12"/>
    </row>
    <row r="753">
      <c r="B753" s="12"/>
    </row>
    <row r="754">
      <c r="B754" s="12"/>
    </row>
    <row r="755">
      <c r="B755" s="12"/>
    </row>
    <row r="756">
      <c r="B756" s="12"/>
    </row>
    <row r="757">
      <c r="B757" s="12"/>
    </row>
    <row r="758">
      <c r="B758" s="12"/>
    </row>
    <row r="759">
      <c r="B759" s="12"/>
    </row>
    <row r="760">
      <c r="B760" s="12"/>
    </row>
    <row r="761">
      <c r="B761" s="12"/>
    </row>
    <row r="762">
      <c r="B762" s="12"/>
    </row>
    <row r="763">
      <c r="B763" s="12"/>
    </row>
    <row r="764">
      <c r="B764" s="12"/>
    </row>
    <row r="765">
      <c r="B765" s="12"/>
    </row>
    <row r="766">
      <c r="B766" s="12"/>
    </row>
    <row r="767">
      <c r="B767" s="12"/>
    </row>
    <row r="768">
      <c r="B768" s="12"/>
    </row>
    <row r="769">
      <c r="B769" s="12"/>
    </row>
    <row r="770">
      <c r="B770" s="12"/>
    </row>
    <row r="771">
      <c r="B771" s="12"/>
    </row>
    <row r="772">
      <c r="B772" s="12"/>
    </row>
    <row r="773">
      <c r="B773" s="12"/>
    </row>
    <row r="774">
      <c r="B774" s="12"/>
    </row>
    <row r="775">
      <c r="B775" s="12"/>
    </row>
    <row r="776">
      <c r="B776" s="12"/>
    </row>
    <row r="777">
      <c r="B777" s="12"/>
    </row>
    <row r="778">
      <c r="B778" s="12"/>
    </row>
    <row r="779">
      <c r="B779" s="12"/>
    </row>
    <row r="780">
      <c r="B780" s="12"/>
    </row>
    <row r="781">
      <c r="B781" s="12"/>
    </row>
    <row r="782">
      <c r="B782" s="12"/>
    </row>
    <row r="783">
      <c r="B783" s="12"/>
    </row>
    <row r="784">
      <c r="B784" s="12"/>
    </row>
    <row r="785">
      <c r="B785" s="12"/>
    </row>
    <row r="786">
      <c r="B786" s="12"/>
    </row>
    <row r="787">
      <c r="B787" s="12"/>
    </row>
    <row r="788">
      <c r="B788" s="12"/>
    </row>
    <row r="789">
      <c r="B789" s="12"/>
    </row>
    <row r="790">
      <c r="B790" s="12"/>
    </row>
    <row r="791">
      <c r="B791" s="12"/>
    </row>
    <row r="792">
      <c r="B792" s="12"/>
    </row>
    <row r="793">
      <c r="B793" s="12"/>
    </row>
    <row r="794">
      <c r="B794" s="12"/>
    </row>
    <row r="795">
      <c r="B795" s="12"/>
    </row>
    <row r="796">
      <c r="B796" s="12"/>
    </row>
    <row r="797">
      <c r="B797" s="12"/>
    </row>
    <row r="798">
      <c r="B798" s="12"/>
    </row>
    <row r="799">
      <c r="B799" s="12"/>
    </row>
    <row r="800">
      <c r="B800" s="12"/>
    </row>
    <row r="801">
      <c r="B801" s="12"/>
    </row>
    <row r="802">
      <c r="B802" s="12"/>
    </row>
    <row r="803">
      <c r="B803" s="12"/>
    </row>
    <row r="804">
      <c r="B804" s="12"/>
    </row>
    <row r="805">
      <c r="B805" s="12"/>
    </row>
    <row r="806">
      <c r="B806" s="12"/>
    </row>
    <row r="807">
      <c r="B807" s="12"/>
    </row>
    <row r="808">
      <c r="B808" s="12"/>
    </row>
    <row r="809">
      <c r="B809" s="12"/>
    </row>
    <row r="810">
      <c r="B810" s="12"/>
    </row>
    <row r="811">
      <c r="B811" s="12"/>
    </row>
    <row r="812">
      <c r="B812" s="12"/>
    </row>
    <row r="813">
      <c r="B813" s="12"/>
    </row>
    <row r="814">
      <c r="B814" s="12"/>
    </row>
    <row r="815">
      <c r="B815" s="12"/>
    </row>
    <row r="816">
      <c r="B816" s="12"/>
    </row>
    <row r="817">
      <c r="B817" s="12"/>
    </row>
    <row r="818">
      <c r="B818" s="12"/>
    </row>
    <row r="819">
      <c r="B819" s="12"/>
    </row>
    <row r="820">
      <c r="B820" s="12"/>
    </row>
    <row r="821">
      <c r="B821" s="12"/>
    </row>
    <row r="822">
      <c r="B822" s="12"/>
    </row>
    <row r="823">
      <c r="B823" s="12"/>
    </row>
    <row r="824">
      <c r="B824" s="12"/>
    </row>
    <row r="825">
      <c r="B825" s="12"/>
    </row>
    <row r="826">
      <c r="B826" s="12"/>
    </row>
    <row r="827">
      <c r="B827" s="12"/>
    </row>
    <row r="828">
      <c r="B828" s="12"/>
    </row>
    <row r="829">
      <c r="B829" s="12"/>
    </row>
    <row r="830">
      <c r="B830" s="12"/>
    </row>
    <row r="831">
      <c r="B831" s="12"/>
    </row>
    <row r="832">
      <c r="B832" s="12"/>
    </row>
    <row r="833">
      <c r="B833" s="12"/>
    </row>
    <row r="834">
      <c r="B834" s="12"/>
    </row>
    <row r="835">
      <c r="B835" s="12"/>
    </row>
    <row r="836">
      <c r="B836" s="12"/>
    </row>
    <row r="837">
      <c r="B837" s="12"/>
    </row>
    <row r="838">
      <c r="B838" s="12"/>
    </row>
    <row r="839">
      <c r="B839" s="12"/>
    </row>
    <row r="840">
      <c r="B840" s="12"/>
    </row>
    <row r="841">
      <c r="B841" s="12"/>
    </row>
    <row r="842">
      <c r="B842" s="12"/>
    </row>
    <row r="843">
      <c r="B843" s="12"/>
    </row>
    <row r="844">
      <c r="B844" s="12"/>
    </row>
    <row r="845">
      <c r="B845" s="12"/>
    </row>
    <row r="846">
      <c r="B846" s="12"/>
    </row>
    <row r="847">
      <c r="B847" s="12"/>
    </row>
    <row r="848">
      <c r="B848" s="12"/>
    </row>
    <row r="849">
      <c r="B849" s="12"/>
    </row>
    <row r="850">
      <c r="B850" s="12"/>
    </row>
    <row r="851">
      <c r="B851" s="12"/>
    </row>
    <row r="852">
      <c r="B852" s="12"/>
    </row>
    <row r="853">
      <c r="B853" s="12"/>
    </row>
    <row r="854">
      <c r="B854" s="12"/>
    </row>
    <row r="855">
      <c r="B855" s="12"/>
    </row>
    <row r="856">
      <c r="B856" s="12"/>
    </row>
    <row r="857">
      <c r="B857" s="12"/>
    </row>
    <row r="858">
      <c r="B858" s="12"/>
    </row>
    <row r="859">
      <c r="B859" s="12"/>
    </row>
    <row r="860">
      <c r="B860" s="12"/>
    </row>
    <row r="861">
      <c r="B861" s="12"/>
    </row>
    <row r="862">
      <c r="B862" s="12"/>
    </row>
    <row r="863">
      <c r="B863" s="12"/>
    </row>
    <row r="864">
      <c r="B864" s="12"/>
    </row>
    <row r="865">
      <c r="B865" s="12"/>
    </row>
    <row r="866">
      <c r="B866" s="12"/>
    </row>
    <row r="867">
      <c r="B867" s="12"/>
    </row>
    <row r="868">
      <c r="B868" s="12"/>
    </row>
    <row r="869">
      <c r="B869" s="12"/>
    </row>
    <row r="870">
      <c r="B870" s="12"/>
    </row>
    <row r="871">
      <c r="B871" s="12"/>
    </row>
    <row r="872">
      <c r="B872" s="12"/>
    </row>
    <row r="873">
      <c r="B873" s="12"/>
    </row>
    <row r="874">
      <c r="B874" s="12"/>
    </row>
    <row r="875">
      <c r="B875" s="12"/>
    </row>
    <row r="876">
      <c r="B876" s="12"/>
    </row>
    <row r="877">
      <c r="B877" s="12"/>
    </row>
    <row r="878">
      <c r="B878" s="12"/>
    </row>
    <row r="879">
      <c r="B879" s="12"/>
    </row>
    <row r="880">
      <c r="B880" s="12"/>
    </row>
    <row r="881">
      <c r="B881" s="12"/>
    </row>
    <row r="882">
      <c r="B882" s="12"/>
    </row>
    <row r="883">
      <c r="B883" s="12"/>
    </row>
    <row r="884">
      <c r="B884" s="12"/>
    </row>
    <row r="885">
      <c r="B885" s="12"/>
    </row>
    <row r="886">
      <c r="B886" s="12"/>
    </row>
    <row r="887">
      <c r="B887" s="12"/>
    </row>
    <row r="888">
      <c r="B888" s="12"/>
    </row>
    <row r="889">
      <c r="B889" s="12"/>
    </row>
    <row r="890">
      <c r="B890" s="12"/>
    </row>
    <row r="891">
      <c r="B891" s="12"/>
    </row>
    <row r="892">
      <c r="B892" s="12"/>
    </row>
    <row r="893">
      <c r="B893" s="12"/>
    </row>
    <row r="894">
      <c r="B894" s="12"/>
    </row>
    <row r="895">
      <c r="B895" s="12"/>
    </row>
    <row r="896">
      <c r="B896" s="12"/>
    </row>
    <row r="897">
      <c r="B897" s="12"/>
    </row>
    <row r="898">
      <c r="B898" s="12"/>
    </row>
    <row r="899">
      <c r="B899" s="12"/>
    </row>
    <row r="900">
      <c r="B900" s="12"/>
    </row>
    <row r="901">
      <c r="B901" s="12"/>
    </row>
    <row r="902">
      <c r="B902" s="12"/>
    </row>
    <row r="903">
      <c r="B903" s="12"/>
    </row>
    <row r="904">
      <c r="B904" s="12"/>
    </row>
    <row r="905">
      <c r="B905" s="12"/>
    </row>
    <row r="906">
      <c r="B906" s="12"/>
    </row>
    <row r="907">
      <c r="B907" s="12"/>
    </row>
    <row r="908">
      <c r="B908" s="12"/>
    </row>
    <row r="909">
      <c r="B909" s="12"/>
    </row>
    <row r="910">
      <c r="B910" s="12"/>
    </row>
    <row r="911">
      <c r="B911" s="12"/>
    </row>
    <row r="912">
      <c r="B912" s="12"/>
    </row>
    <row r="913">
      <c r="B913" s="12"/>
    </row>
    <row r="914">
      <c r="B914" s="12"/>
    </row>
    <row r="915">
      <c r="B915" s="12"/>
    </row>
    <row r="916">
      <c r="B916" s="12"/>
    </row>
    <row r="917">
      <c r="B917" s="12"/>
    </row>
    <row r="918">
      <c r="B918" s="12"/>
    </row>
    <row r="919">
      <c r="B919" s="12"/>
    </row>
    <row r="920">
      <c r="B920" s="12"/>
    </row>
    <row r="921">
      <c r="B921" s="12"/>
    </row>
    <row r="922">
      <c r="B922" s="12"/>
    </row>
    <row r="923">
      <c r="B923" s="12"/>
    </row>
    <row r="924">
      <c r="B924" s="12"/>
    </row>
    <row r="925">
      <c r="B925" s="12"/>
    </row>
    <row r="926">
      <c r="B926" s="12"/>
    </row>
    <row r="927">
      <c r="B927" s="12"/>
    </row>
    <row r="928">
      <c r="B928" s="12"/>
    </row>
    <row r="929">
      <c r="B929" s="12"/>
    </row>
    <row r="930">
      <c r="B930" s="12"/>
    </row>
    <row r="931">
      <c r="B931" s="12"/>
    </row>
    <row r="932">
      <c r="B932" s="12"/>
    </row>
    <row r="933">
      <c r="B933" s="12"/>
    </row>
    <row r="934">
      <c r="B934" s="12"/>
    </row>
    <row r="935">
      <c r="B935" s="12"/>
    </row>
    <row r="936">
      <c r="B936" s="12"/>
    </row>
    <row r="937">
      <c r="B937" s="12"/>
    </row>
    <row r="938">
      <c r="B938" s="12"/>
    </row>
    <row r="939">
      <c r="B939" s="12"/>
    </row>
    <row r="940">
      <c r="B940" s="12"/>
    </row>
    <row r="941">
      <c r="B941" s="12"/>
    </row>
    <row r="942">
      <c r="B942" s="12"/>
    </row>
    <row r="943">
      <c r="B943" s="12"/>
    </row>
    <row r="944">
      <c r="B944" s="12"/>
    </row>
    <row r="945">
      <c r="B945" s="12"/>
    </row>
    <row r="946">
      <c r="B946" s="12"/>
    </row>
    <row r="947">
      <c r="B947" s="12"/>
    </row>
    <row r="948">
      <c r="B948" s="12"/>
    </row>
    <row r="949">
      <c r="B949" s="12"/>
    </row>
    <row r="950">
      <c r="B950" s="12"/>
    </row>
    <row r="951">
      <c r="B951" s="12"/>
    </row>
    <row r="952">
      <c r="B952" s="12"/>
    </row>
    <row r="953">
      <c r="B953" s="12"/>
    </row>
    <row r="954">
      <c r="B954" s="12"/>
    </row>
    <row r="955">
      <c r="B955" s="12"/>
    </row>
    <row r="956">
      <c r="B956" s="12"/>
    </row>
    <row r="957">
      <c r="B957" s="12"/>
    </row>
    <row r="958">
      <c r="B958" s="12"/>
    </row>
    <row r="959">
      <c r="B959" s="12"/>
    </row>
    <row r="960">
      <c r="B960" s="12"/>
    </row>
    <row r="961">
      <c r="B961" s="12"/>
    </row>
    <row r="962">
      <c r="B962" s="12"/>
    </row>
    <row r="963">
      <c r="B963" s="12"/>
    </row>
    <row r="964">
      <c r="B964" s="12"/>
    </row>
    <row r="965">
      <c r="B965" s="12"/>
    </row>
    <row r="966">
      <c r="B966" s="12"/>
    </row>
    <row r="967">
      <c r="B967" s="12"/>
    </row>
    <row r="968">
      <c r="B968" s="12"/>
    </row>
    <row r="969">
      <c r="B969" s="12"/>
    </row>
    <row r="970">
      <c r="B970" s="12"/>
    </row>
    <row r="971">
      <c r="B971" s="12"/>
    </row>
    <row r="972">
      <c r="B972" s="12"/>
    </row>
    <row r="973">
      <c r="B973" s="12"/>
    </row>
    <row r="974">
      <c r="B974" s="12"/>
    </row>
    <row r="975">
      <c r="B975" s="12"/>
    </row>
    <row r="976">
      <c r="B976" s="12"/>
    </row>
    <row r="977">
      <c r="B977" s="12"/>
    </row>
    <row r="978">
      <c r="B978" s="12"/>
    </row>
    <row r="979">
      <c r="B979" s="12"/>
    </row>
    <row r="980">
      <c r="B980" s="12"/>
    </row>
    <row r="981">
      <c r="B981" s="12"/>
    </row>
    <row r="982">
      <c r="B982" s="12"/>
    </row>
    <row r="983">
      <c r="B983" s="12"/>
    </row>
    <row r="984">
      <c r="B984" s="12"/>
    </row>
    <row r="985">
      <c r="B985" s="12"/>
    </row>
    <row r="986">
      <c r="B986" s="12"/>
    </row>
    <row r="987">
      <c r="B987" s="12"/>
    </row>
    <row r="988">
      <c r="B988" s="12"/>
    </row>
    <row r="989">
      <c r="B989" s="12"/>
    </row>
    <row r="990">
      <c r="B990" s="12"/>
    </row>
    <row r="991">
      <c r="B991" s="12"/>
    </row>
    <row r="992">
      <c r="B992" s="12"/>
    </row>
    <row r="993">
      <c r="B993" s="12"/>
    </row>
    <row r="994">
      <c r="B994" s="12"/>
    </row>
    <row r="995">
      <c r="B995" s="12"/>
    </row>
    <row r="996">
      <c r="B996" s="12"/>
    </row>
    <row r="997">
      <c r="B997" s="12"/>
    </row>
    <row r="998">
      <c r="B998" s="12"/>
    </row>
    <row r="999">
      <c r="B999" s="12"/>
    </row>
    <row r="1000">
      <c r="B1000" s="1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30.5"/>
    <col customWidth="1" min="3" max="3" width="24.5"/>
    <col customWidth="1" min="4" max="4" width="17.25"/>
    <col customWidth="1" min="5" max="6" width="18.88"/>
    <col customWidth="1" min="7" max="7" width="50.25"/>
  </cols>
  <sheetData>
    <row r="1">
      <c r="A1" s="41" t="s">
        <v>486</v>
      </c>
      <c r="B1" s="2"/>
      <c r="C1" s="2"/>
      <c r="D1" s="16" t="s">
        <v>487</v>
      </c>
      <c r="E1" s="2"/>
      <c r="F1" s="16" t="s">
        <v>488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2" t="s">
        <v>489</v>
      </c>
      <c r="B2" s="42"/>
      <c r="C2" s="42"/>
      <c r="D2" s="4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2" t="s">
        <v>490</v>
      </c>
      <c r="B3" s="42"/>
      <c r="C3" s="42"/>
      <c r="D3" s="4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2" t="s">
        <v>491</v>
      </c>
      <c r="B4" s="42"/>
      <c r="C4" s="42"/>
      <c r="D4" s="4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2" t="s">
        <v>492</v>
      </c>
      <c r="B5" s="42"/>
      <c r="C5" s="42"/>
      <c r="D5" s="4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2" t="s">
        <v>493</v>
      </c>
      <c r="B6" s="42"/>
      <c r="C6" s="42"/>
      <c r="D6" s="4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2" t="s">
        <v>494</v>
      </c>
      <c r="B7" s="42"/>
      <c r="C7" s="42"/>
      <c r="D7" s="4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2" t="s">
        <v>495</v>
      </c>
      <c r="B8" s="42"/>
      <c r="C8" s="42"/>
      <c r="D8" s="4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2" t="s">
        <v>496</v>
      </c>
      <c r="B9" s="42"/>
      <c r="C9" s="42"/>
      <c r="D9" s="4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2" t="s">
        <v>497</v>
      </c>
      <c r="B10" s="42"/>
      <c r="C10" s="42"/>
      <c r="D10" s="4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2" t="s">
        <v>498</v>
      </c>
      <c r="B11" s="42"/>
      <c r="C11" s="42"/>
      <c r="D11" s="42"/>
      <c r="E11" s="2"/>
      <c r="F11" s="2"/>
      <c r="G11" s="2"/>
      <c r="H11" s="2"/>
      <c r="I11" s="21"/>
      <c r="J11" s="2"/>
      <c r="K11" s="2"/>
      <c r="L11" s="21"/>
      <c r="M11" s="21"/>
      <c r="N11" s="2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2" t="s">
        <v>499</v>
      </c>
      <c r="B12" s="42"/>
      <c r="C12" s="42"/>
      <c r="D12" s="4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1" t="s">
        <v>500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8.25" customHeight="1">
      <c r="A16" s="43" t="s">
        <v>501</v>
      </c>
      <c r="B16" s="43" t="s">
        <v>502</v>
      </c>
      <c r="C16" s="43" t="s">
        <v>503</v>
      </c>
      <c r="D16" s="43" t="s">
        <v>504</v>
      </c>
      <c r="E16" s="43" t="s">
        <v>505</v>
      </c>
      <c r="F16" s="43" t="s">
        <v>506</v>
      </c>
      <c r="G16" s="43" t="s">
        <v>507</v>
      </c>
      <c r="H16" s="43" t="s">
        <v>508</v>
      </c>
      <c r="I16" s="43" t="s">
        <v>509</v>
      </c>
      <c r="J16" s="43" t="s">
        <v>510</v>
      </c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>
      <c r="A17" s="45" t="s">
        <v>511</v>
      </c>
      <c r="B17" s="46" t="s">
        <v>512</v>
      </c>
      <c r="C17" s="46" t="s">
        <v>513</v>
      </c>
      <c r="D17" s="46" t="s">
        <v>514</v>
      </c>
      <c r="E17" s="46" t="s">
        <v>515</v>
      </c>
      <c r="F17" s="46" t="s">
        <v>516</v>
      </c>
      <c r="G17" s="47" t="s">
        <v>517</v>
      </c>
      <c r="H17" s="46" t="s">
        <v>518</v>
      </c>
      <c r="I17" s="46" t="s">
        <v>519</v>
      </c>
      <c r="J17" s="46" t="s">
        <v>520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5" t="s">
        <v>95</v>
      </c>
      <c r="B18" s="46" t="s">
        <v>512</v>
      </c>
      <c r="C18" s="46" t="s">
        <v>521</v>
      </c>
      <c r="D18" s="46" t="s">
        <v>522</v>
      </c>
      <c r="E18" s="46" t="s">
        <v>523</v>
      </c>
      <c r="F18" s="46" t="s">
        <v>524</v>
      </c>
      <c r="G18" s="46" t="s">
        <v>525</v>
      </c>
      <c r="H18" s="46" t="s">
        <v>526</v>
      </c>
      <c r="I18" s="46" t="s">
        <v>527</v>
      </c>
      <c r="J18" s="46" t="s">
        <v>528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5" t="s">
        <v>529</v>
      </c>
      <c r="B19" s="46" t="s">
        <v>530</v>
      </c>
      <c r="C19" s="46" t="s">
        <v>531</v>
      </c>
      <c r="D19" s="46" t="s">
        <v>532</v>
      </c>
      <c r="E19" s="46" t="s">
        <v>533</v>
      </c>
      <c r="F19" s="46" t="s">
        <v>534</v>
      </c>
      <c r="G19" s="47" t="s">
        <v>517</v>
      </c>
      <c r="H19" s="46" t="s">
        <v>535</v>
      </c>
      <c r="I19" s="46" t="s">
        <v>519</v>
      </c>
      <c r="J19" s="46" t="s">
        <v>536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5" t="s">
        <v>537</v>
      </c>
      <c r="B20" s="46" t="s">
        <v>538</v>
      </c>
      <c r="C20" s="46" t="s">
        <v>539</v>
      </c>
      <c r="D20" s="46" t="s">
        <v>540</v>
      </c>
      <c r="E20" s="46" t="s">
        <v>541</v>
      </c>
      <c r="F20" s="46" t="s">
        <v>542</v>
      </c>
      <c r="G20" s="46" t="s">
        <v>543</v>
      </c>
      <c r="H20" s="46" t="s">
        <v>544</v>
      </c>
      <c r="I20" s="46" t="s">
        <v>545</v>
      </c>
      <c r="J20" s="46" t="s">
        <v>546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5" t="s">
        <v>547</v>
      </c>
      <c r="B21" s="46" t="s">
        <v>548</v>
      </c>
      <c r="C21" s="46" t="s">
        <v>549</v>
      </c>
      <c r="D21" s="46" t="s">
        <v>550</v>
      </c>
      <c r="E21" s="46" t="s">
        <v>551</v>
      </c>
      <c r="F21" s="46" t="s">
        <v>552</v>
      </c>
      <c r="G21" s="46" t="s">
        <v>553</v>
      </c>
      <c r="H21" s="46" t="s">
        <v>554</v>
      </c>
      <c r="I21" s="46" t="s">
        <v>555</v>
      </c>
      <c r="J21" s="46" t="s">
        <v>556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5" t="s">
        <v>557</v>
      </c>
      <c r="B22" s="45" t="s">
        <v>558</v>
      </c>
      <c r="C22" s="46" t="s">
        <v>559</v>
      </c>
      <c r="D22" s="46" t="s">
        <v>560</v>
      </c>
      <c r="E22" s="46" t="s">
        <v>561</v>
      </c>
      <c r="F22" s="46" t="s">
        <v>562</v>
      </c>
      <c r="G22" s="46" t="s">
        <v>563</v>
      </c>
      <c r="H22" s="46" t="s">
        <v>564</v>
      </c>
      <c r="I22" s="46" t="s">
        <v>527</v>
      </c>
      <c r="J22" s="46" t="s">
        <v>565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5" t="s">
        <v>566</v>
      </c>
      <c r="B23" s="46" t="s">
        <v>512</v>
      </c>
      <c r="C23" s="46" t="s">
        <v>567</v>
      </c>
      <c r="D23" s="46" t="s">
        <v>568</v>
      </c>
      <c r="E23" s="46" t="s">
        <v>569</v>
      </c>
      <c r="F23" s="46" t="s">
        <v>570</v>
      </c>
      <c r="G23" s="46" t="s">
        <v>571</v>
      </c>
      <c r="H23" s="46" t="s">
        <v>572</v>
      </c>
      <c r="I23" s="46" t="s">
        <v>527</v>
      </c>
      <c r="J23" s="46" t="s">
        <v>573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5" t="s">
        <v>574</v>
      </c>
      <c r="B24" s="46" t="s">
        <v>512</v>
      </c>
      <c r="C24" s="46" t="s">
        <v>575</v>
      </c>
      <c r="D24" s="46" t="s">
        <v>576</v>
      </c>
      <c r="E24" s="46" t="s">
        <v>577</v>
      </c>
      <c r="F24" s="46" t="s">
        <v>578</v>
      </c>
      <c r="G24" s="46" t="s">
        <v>579</v>
      </c>
      <c r="H24" s="47" t="s">
        <v>580</v>
      </c>
      <c r="I24" s="46" t="s">
        <v>581</v>
      </c>
      <c r="J24" s="49" t="str">
        <f>&gt;</f>
        <v>#ERROR!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5" t="s">
        <v>582</v>
      </c>
      <c r="B25" s="45" t="s">
        <v>583</v>
      </c>
      <c r="C25" s="46" t="s">
        <v>584</v>
      </c>
      <c r="D25" s="46" t="s">
        <v>585</v>
      </c>
      <c r="E25" s="46" t="s">
        <v>586</v>
      </c>
      <c r="F25" s="46" t="s">
        <v>587</v>
      </c>
      <c r="G25" s="47" t="s">
        <v>517</v>
      </c>
      <c r="H25" s="46" t="s">
        <v>588</v>
      </c>
      <c r="I25" s="46" t="s">
        <v>589</v>
      </c>
      <c r="J25" s="46" t="s">
        <v>590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5" t="s">
        <v>591</v>
      </c>
      <c r="B26" s="46" t="s">
        <v>592</v>
      </c>
      <c r="C26" s="46" t="s">
        <v>593</v>
      </c>
      <c r="D26" s="46" t="s">
        <v>594</v>
      </c>
      <c r="E26" s="46" t="s">
        <v>595</v>
      </c>
      <c r="F26" s="46" t="s">
        <v>596</v>
      </c>
      <c r="G26" s="46" t="s">
        <v>597</v>
      </c>
      <c r="H26" s="46" t="s">
        <v>598</v>
      </c>
      <c r="I26" s="46" t="s">
        <v>599</v>
      </c>
      <c r="J26" s="46" t="s">
        <v>600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6" t="s">
        <v>601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0" t="s">
        <v>602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0" t="s">
        <v>603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0" t="s">
        <v>604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0" t="s">
        <v>605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0" t="s">
        <v>606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0" t="s">
        <v>607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0" t="s">
        <v>608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0" t="s">
        <v>609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0" t="s">
        <v>610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0" t="s">
        <v>611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0" t="s">
        <v>612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0" t="s">
        <v>613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0" t="s">
        <v>614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0" t="s">
        <v>615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0" t="s">
        <v>616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0" t="s">
        <v>617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0" t="s">
        <v>618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0" t="s">
        <v>619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0" t="s">
        <v>620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0" t="s">
        <v>621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0" t="s">
        <v>622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0" t="s">
        <v>623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0" t="s">
        <v>624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0" t="s">
        <v>625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0" t="s">
        <v>626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0" t="s">
        <v>633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0" t="s">
        <v>642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0" t="s">
        <v>655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0" t="s">
        <v>658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0" t="s">
        <v>659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2">
        <v>46089.0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0" t="s">
        <v>624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0" t="s">
        <v>660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0" t="s">
        <v>661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0" t="s">
        <v>662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627</v>
      </c>
    </row>
    <row r="3">
      <c r="A3" s="8" t="s">
        <v>628</v>
      </c>
    </row>
    <row r="4">
      <c r="A4" s="8" t="s">
        <v>629</v>
      </c>
    </row>
    <row r="5">
      <c r="A5" s="8" t="s">
        <v>630</v>
      </c>
    </row>
    <row r="6">
      <c r="A6" s="8" t="s">
        <v>631</v>
      </c>
    </row>
    <row r="8">
      <c r="A8" s="8" t="s">
        <v>624</v>
      </c>
    </row>
    <row r="10">
      <c r="A10" s="8" t="s">
        <v>632</v>
      </c>
    </row>
    <row r="12">
      <c r="A12" s="8" t="s">
        <v>634</v>
      </c>
    </row>
    <row r="14">
      <c r="A14" s="8" t="s">
        <v>635</v>
      </c>
    </row>
    <row r="15">
      <c r="A15" s="8" t="s">
        <v>636</v>
      </c>
    </row>
    <row r="16">
      <c r="A16" s="8" t="s">
        <v>637</v>
      </c>
    </row>
    <row r="17">
      <c r="A17" s="8" t="s">
        <v>638</v>
      </c>
    </row>
    <row r="19">
      <c r="A19" s="8" t="s">
        <v>639</v>
      </c>
    </row>
    <row r="20">
      <c r="A20" s="8" t="s">
        <v>640</v>
      </c>
    </row>
    <row r="21">
      <c r="A21" s="8" t="s">
        <v>641</v>
      </c>
    </row>
    <row r="22">
      <c r="A22" s="8" t="s">
        <v>643</v>
      </c>
    </row>
    <row r="23">
      <c r="A23" s="8" t="s">
        <v>644</v>
      </c>
    </row>
    <row r="24">
      <c r="A24" s="8" t="s">
        <v>645</v>
      </c>
    </row>
    <row r="26">
      <c r="A26" s="8" t="s">
        <v>646</v>
      </c>
    </row>
    <row r="27">
      <c r="A27" s="8" t="s">
        <v>647</v>
      </c>
    </row>
    <row r="29">
      <c r="A29" s="8" t="s">
        <v>624</v>
      </c>
    </row>
    <row r="31">
      <c r="A31" s="8" t="s">
        <v>648</v>
      </c>
    </row>
    <row r="33">
      <c r="A33" s="8" t="s">
        <v>649</v>
      </c>
    </row>
    <row r="34">
      <c r="A34" s="8" t="s">
        <v>650</v>
      </c>
    </row>
    <row r="36">
      <c r="A36" s="8" t="s">
        <v>651</v>
      </c>
    </row>
    <row r="37">
      <c r="A37" s="8" t="s">
        <v>652</v>
      </c>
    </row>
    <row r="39">
      <c r="A39" s="8" t="s">
        <v>653</v>
      </c>
    </row>
    <row r="40">
      <c r="A40" s="8" t="s">
        <v>654</v>
      </c>
    </row>
    <row r="42">
      <c r="A42" s="8" t="s">
        <v>624</v>
      </c>
    </row>
    <row r="44">
      <c r="A44" s="8" t="s">
        <v>656</v>
      </c>
    </row>
    <row r="45">
      <c r="A45" s="8" t="s">
        <v>657</v>
      </c>
    </row>
  </sheetData>
  <drawing r:id="rId1"/>
</worksheet>
</file>